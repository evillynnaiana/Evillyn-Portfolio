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Evy\Desktop\Port\img\excel\"/>
    </mc:Choice>
  </mc:AlternateContent>
  <xr:revisionPtr revIDLastSave="0" documentId="13_ncr:1_{E75D3A83-6CDC-4178-AEFB-BC223BC12FA5}" xr6:coauthVersionLast="47" xr6:coauthVersionMax="47" xr10:uidLastSave="{00000000-0000-0000-0000-000000000000}"/>
  <bookViews>
    <workbookView minimized="1" xWindow="345" yWindow="345" windowWidth="2400" windowHeight="585" xr2:uid="{00000000-000D-0000-FFFF-FFFF00000000}"/>
  </bookViews>
  <sheets>
    <sheet name="Cadastro" sheetId="15" r:id="rId1"/>
    <sheet name="infor" sheetId="16" state="hidden" r:id="rId2"/>
    <sheet name="Principal" sheetId="17" r:id="rId3"/>
    <sheet name="Racks Embalagens" sheetId="11" state="hidden" r:id="rId4"/>
    <sheet name="Embalagens 06-08" sheetId="14" state="hidden" r:id="rId5"/>
    <sheet name="Embalagens-Insumos" sheetId="10" state="hidden" r:id="rId6"/>
    <sheet name="Base de Dados" sheetId="4" state="hidden" r:id="rId7"/>
    <sheet name="Fluxo" sheetId="6" state="hidden" r:id="rId8"/>
    <sheet name="Fluxo pop" sheetId="7" state="hidden" r:id="rId9"/>
  </sheets>
  <definedNames>
    <definedName name="_xlnm._FilterDatabase" localSheetId="5" hidden="1">'Embalagens-Insumos'!$B$3:$H$173</definedName>
    <definedName name="_xlnm._FilterDatabase" localSheetId="3" hidden="1">'Racks Embalagens'!$B$5:$J$25</definedName>
    <definedName name="_xlnm.Print_Area" localSheetId="8">'Fluxo pop'!$B$2:$G$140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17" l="1"/>
  <c r="I4" i="17" s="1"/>
  <c r="G5" i="17"/>
  <c r="I5" i="17" s="1"/>
  <c r="G6" i="17"/>
  <c r="I6" i="17" s="1"/>
  <c r="G7" i="17"/>
  <c r="I7" i="17" s="1"/>
  <c r="G8" i="17"/>
  <c r="I8" i="17" s="1"/>
  <c r="G9" i="17"/>
  <c r="I9" i="17" s="1"/>
  <c r="G10" i="17"/>
  <c r="I10" i="17" s="1"/>
  <c r="G11" i="17"/>
  <c r="I11" i="17" s="1"/>
  <c r="G12" i="17"/>
  <c r="I12" i="17" s="1"/>
  <c r="G13" i="17"/>
  <c r="I13" i="17" s="1"/>
  <c r="G14" i="17"/>
  <c r="I14" i="17" s="1"/>
  <c r="G15" i="17"/>
  <c r="I15" i="17" s="1"/>
  <c r="G16" i="17"/>
  <c r="I16" i="17" s="1"/>
  <c r="G17" i="17"/>
  <c r="I17" i="17" s="1"/>
  <c r="G18" i="17"/>
  <c r="I18" i="17" s="1"/>
  <c r="G19" i="17"/>
  <c r="I19" i="17" s="1"/>
  <c r="G20" i="17"/>
  <c r="I20" i="17" s="1"/>
  <c r="G21" i="17"/>
  <c r="I21" i="17" s="1"/>
  <c r="G22" i="17"/>
  <c r="I22" i="17" s="1"/>
  <c r="G23" i="17"/>
  <c r="I23" i="17" s="1"/>
  <c r="G24" i="17"/>
  <c r="I24" i="17" s="1"/>
  <c r="G25" i="17"/>
  <c r="I25" i="17" s="1"/>
  <c r="G26" i="17"/>
  <c r="I26" i="17" s="1"/>
  <c r="G27" i="17"/>
  <c r="I27" i="17" s="1"/>
  <c r="G28" i="17"/>
  <c r="I28" i="17" s="1"/>
  <c r="G29" i="17"/>
  <c r="I29" i="17" s="1"/>
  <c r="G30" i="17"/>
  <c r="I30" i="17" s="1"/>
  <c r="G31" i="17"/>
  <c r="I31" i="17" s="1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6" i="17"/>
  <c r="G57" i="17"/>
  <c r="G58" i="17"/>
  <c r="G59" i="17"/>
  <c r="G60" i="17"/>
  <c r="G61" i="17"/>
  <c r="G62" i="17"/>
  <c r="G63" i="17"/>
  <c r="G64" i="17"/>
  <c r="G65" i="17"/>
  <c r="G66" i="17"/>
  <c r="G67" i="17"/>
  <c r="G68" i="17"/>
  <c r="G69" i="17"/>
  <c r="G70" i="17"/>
  <c r="G71" i="17"/>
  <c r="G72" i="17"/>
  <c r="G73" i="17"/>
  <c r="G74" i="17"/>
  <c r="G75" i="17"/>
  <c r="G76" i="17"/>
  <c r="G77" i="17"/>
  <c r="G78" i="17"/>
  <c r="G79" i="17"/>
  <c r="G80" i="17"/>
  <c r="G81" i="17"/>
  <c r="G82" i="17"/>
  <c r="G83" i="17"/>
  <c r="G84" i="17"/>
  <c r="G85" i="17"/>
  <c r="G86" i="17"/>
  <c r="G87" i="17"/>
  <c r="G3" i="17"/>
  <c r="D14" i="15" l="1"/>
  <c r="I3" i="17"/>
  <c r="H98" i="10"/>
  <c r="I98" i="10" s="1"/>
  <c r="H83" i="10"/>
  <c r="H95" i="10"/>
  <c r="H89" i="10"/>
  <c r="I89" i="10" s="1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I72" i="10" s="1"/>
  <c r="H73" i="10"/>
  <c r="H74" i="10"/>
  <c r="H75" i="10"/>
  <c r="H76" i="10"/>
  <c r="H77" i="10"/>
  <c r="H78" i="10"/>
  <c r="H79" i="10"/>
  <c r="H80" i="10"/>
  <c r="H81" i="10"/>
  <c r="H82" i="10"/>
  <c r="I82" i="10" s="1"/>
  <c r="H84" i="10"/>
  <c r="I84" i="10" s="1"/>
  <c r="H85" i="10"/>
  <c r="I85" i="10" s="1"/>
  <c r="H86" i="10"/>
  <c r="H87" i="10"/>
  <c r="I87" i="10" s="1"/>
  <c r="H88" i="10"/>
  <c r="I88" i="10" s="1"/>
  <c r="H90" i="10"/>
  <c r="I90" i="10" s="1"/>
  <c r="H91" i="10"/>
  <c r="H92" i="10"/>
  <c r="I92" i="10" s="1"/>
  <c r="H93" i="10"/>
  <c r="H94" i="10"/>
  <c r="I94" i="10" s="1"/>
  <c r="H96" i="10"/>
  <c r="H97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H127" i="10"/>
  <c r="H128" i="10"/>
  <c r="H129" i="10"/>
  <c r="H130" i="10"/>
  <c r="H131" i="10"/>
  <c r="H132" i="10"/>
  <c r="H133" i="10"/>
  <c r="H134" i="10"/>
  <c r="H135" i="10"/>
  <c r="H136" i="10"/>
  <c r="H137" i="10"/>
  <c r="H138" i="10"/>
  <c r="H139" i="10"/>
  <c r="H140" i="10"/>
  <c r="H141" i="10"/>
  <c r="H142" i="10"/>
  <c r="H143" i="10"/>
  <c r="H144" i="10"/>
  <c r="H145" i="10"/>
  <c r="H146" i="10"/>
  <c r="H147" i="10"/>
  <c r="H148" i="10"/>
  <c r="H149" i="10"/>
  <c r="H150" i="10"/>
  <c r="H151" i="10"/>
  <c r="H152" i="10"/>
  <c r="H153" i="10"/>
  <c r="H154" i="10"/>
  <c r="H155" i="10"/>
  <c r="H156" i="10"/>
  <c r="H157" i="10"/>
  <c r="H158" i="10"/>
  <c r="H159" i="10"/>
  <c r="H4" i="10"/>
  <c r="I83" i="10"/>
  <c r="I86" i="10"/>
  <c r="I93" i="10"/>
  <c r="I91" i="10"/>
  <c r="F23" i="14"/>
  <c r="F22" i="14"/>
  <c r="F16" i="14"/>
  <c r="F17" i="14"/>
  <c r="F18" i="14"/>
  <c r="F20" i="14"/>
  <c r="F21" i="14"/>
  <c r="F24" i="14"/>
  <c r="F25" i="14"/>
  <c r="D19" i="14" l="1"/>
  <c r="D6" i="14" l="1"/>
  <c r="F19" i="14" s="1"/>
  <c r="F26" i="11" l="1"/>
  <c r="D10" i="11" l="1"/>
  <c r="D11" i="11"/>
  <c r="D12" i="11"/>
  <c r="D6" i="11"/>
  <c r="D7" i="11"/>
  <c r="D8" i="11"/>
  <c r="D20" i="11" l="1"/>
  <c r="D9" i="11"/>
  <c r="D22" i="11"/>
  <c r="D24" i="11"/>
  <c r="D13" i="11"/>
  <c r="D14" i="11"/>
  <c r="D15" i="11"/>
  <c r="D16" i="11"/>
  <c r="D17" i="11"/>
  <c r="D19" i="11"/>
  <c r="D21" i="11"/>
  <c r="D23" i="11"/>
  <c r="D25" i="11"/>
  <c r="D18" i="11"/>
  <c r="E51" i="10" l="1"/>
  <c r="H51" i="10" s="1"/>
  <c r="I33" i="10"/>
  <c r="I46" i="10"/>
  <c r="I30" i="10" l="1"/>
  <c r="E38" i="10" l="1"/>
  <c r="H25" i="10" l="1"/>
  <c r="H38" i="10"/>
  <c r="I142" i="10" l="1"/>
  <c r="I39" i="10"/>
  <c r="I4" i="10"/>
  <c r="I1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47" i="10"/>
  <c r="I146" i="10"/>
  <c r="I135" i="10"/>
  <c r="I136" i="10"/>
  <c r="I137" i="10"/>
  <c r="I138" i="10"/>
  <c r="I139" i="10"/>
  <c r="I140" i="10"/>
  <c r="I141" i="10"/>
  <c r="I143" i="10"/>
  <c r="I144" i="10"/>
  <c r="I145" i="10"/>
  <c r="I134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21" i="10"/>
  <c r="I120" i="10"/>
  <c r="I109" i="10"/>
  <c r="I110" i="10"/>
  <c r="I111" i="10"/>
  <c r="I112" i="10"/>
  <c r="I113" i="10"/>
  <c r="I114" i="10"/>
  <c r="I115" i="10"/>
  <c r="I116" i="10"/>
  <c r="I117" i="10"/>
  <c r="I118" i="10"/>
  <c r="I119" i="10"/>
  <c r="I108" i="10"/>
  <c r="I107" i="10"/>
  <c r="I96" i="10"/>
  <c r="I97" i="10"/>
  <c r="I99" i="10"/>
  <c r="I100" i="10"/>
  <c r="I101" i="10"/>
  <c r="I102" i="10"/>
  <c r="I103" i="10"/>
  <c r="I104" i="10"/>
  <c r="I105" i="10"/>
  <c r="I106" i="10"/>
  <c r="I95" i="10"/>
  <c r="I81" i="10"/>
  <c r="I70" i="10"/>
  <c r="I71" i="10"/>
  <c r="I73" i="10"/>
  <c r="I74" i="10"/>
  <c r="I75" i="10"/>
  <c r="I76" i="10"/>
  <c r="I77" i="10"/>
  <c r="I78" i="10"/>
  <c r="I79" i="10"/>
  <c r="I80" i="10"/>
  <c r="I69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56" i="10"/>
  <c r="I43" i="10"/>
  <c r="I44" i="10"/>
  <c r="I45" i="10"/>
  <c r="I47" i="10"/>
  <c r="I48" i="10"/>
  <c r="I49" i="10"/>
  <c r="I50" i="10"/>
  <c r="I51" i="10"/>
  <c r="I52" i="10"/>
  <c r="I53" i="10"/>
  <c r="I54" i="10"/>
  <c r="I55" i="10"/>
  <c r="I31" i="10"/>
  <c r="I32" i="10"/>
  <c r="I34" i="10"/>
  <c r="I35" i="10"/>
  <c r="I36" i="10"/>
  <c r="I37" i="10"/>
  <c r="I38" i="10"/>
  <c r="I40" i="10"/>
  <c r="I41" i="10"/>
  <c r="I42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16" i="10"/>
  <c r="I5" i="10"/>
  <c r="I6" i="10"/>
  <c r="I7" i="10"/>
  <c r="I8" i="10"/>
  <c r="I9" i="10"/>
  <c r="I10" i="10"/>
  <c r="I11" i="10"/>
  <c r="I12" i="10"/>
  <c r="I13" i="10"/>
  <c r="I14" i="10"/>
  <c r="I15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LUCAS BORAIKO</author>
  </authors>
  <commentList>
    <comment ref="H8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LUCAS BORAIKO:</t>
        </r>
        <r>
          <rPr>
            <sz val="9"/>
            <color indexed="81"/>
            <rFont val="Tahoma"/>
            <family val="2"/>
          </rPr>
          <t xml:space="preserve">
Ajuste de estoque, haviam bags de 1000 identicados fisicamente como 1250
</t>
        </r>
      </text>
    </comment>
    <comment ref="E96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LUCAS BORAIKO:</t>
        </r>
        <r>
          <rPr>
            <sz val="9"/>
            <color indexed="81"/>
            <rFont val="Tahoma"/>
            <family val="2"/>
          </rPr>
          <t xml:space="preserve">
Ajuste de estoque, haviam bags de 1000 identicados fisicamente como 1250
</t>
        </r>
      </text>
    </comment>
    <comment ref="G102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LUCAS BORAIKO:</t>
        </r>
        <r>
          <rPr>
            <sz val="9"/>
            <color indexed="81"/>
            <rFont val="Tahoma"/>
            <family val="2"/>
          </rPr>
          <t xml:space="preserve">
recebido em 06/09</t>
        </r>
      </text>
    </comment>
    <comment ref="J107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LUCAS BORAIKO:</t>
        </r>
        <r>
          <rPr>
            <sz val="9"/>
            <color indexed="81"/>
            <rFont val="Tahoma"/>
            <family val="2"/>
          </rPr>
          <t xml:space="preserve">
350 unidades do pedido 4500123140 e mais 550 pedido novo</t>
        </r>
      </text>
    </comment>
  </commentList>
</comments>
</file>

<file path=xl/sharedStrings.xml><?xml version="1.0" encoding="utf-8"?>
<sst xmlns="http://schemas.openxmlformats.org/spreadsheetml/2006/main" count="527" uniqueCount="192">
  <si>
    <t>Controle de Estoque - Grits e Flakes</t>
  </si>
  <si>
    <t>Capacidade Racks(pallets)</t>
  </si>
  <si>
    <t>Capacidade Toneladas</t>
  </si>
  <si>
    <t>Capacidade</t>
  </si>
  <si>
    <t>Guardando</t>
  </si>
  <si>
    <t>Endereço</t>
  </si>
  <si>
    <t>FUBA DE MILHO BAG - 10000281</t>
  </si>
  <si>
    <t xml:space="preserve">Retirando </t>
  </si>
  <si>
    <t>R1-A</t>
  </si>
  <si>
    <t>FUBA DE MILHO BAG 1250 KG EXP -  10001260</t>
  </si>
  <si>
    <t>FUBA DE MILHO SC25 - 10000730</t>
  </si>
  <si>
    <t>R1-B</t>
  </si>
  <si>
    <t>FUBA MIMOSO SC25 - 10001210</t>
  </si>
  <si>
    <t>FUBA ITALIANO BAG- 10001215</t>
  </si>
  <si>
    <t>R1-C</t>
  </si>
  <si>
    <t>FUBA ITALIANO SC25 - 10001213</t>
  </si>
  <si>
    <t>CANJICA DE MILHO BAG - 10001200</t>
  </si>
  <si>
    <t>CREME DE MILHO BAG</t>
  </si>
  <si>
    <t>R1-D</t>
  </si>
  <si>
    <t>CREME DE MILHO SC25</t>
  </si>
  <si>
    <t>GRITS DE MILHO BAG</t>
  </si>
  <si>
    <t>R2-A</t>
  </si>
  <si>
    <t>GRITS DE MILHO SC25</t>
  </si>
  <si>
    <t>FLAKES DE MILHO BAG</t>
  </si>
  <si>
    <t>R2-B</t>
  </si>
  <si>
    <t>FLAKES DE MILHO SC25</t>
  </si>
  <si>
    <t>FARINHA DE MILHO PRÉ-COZIDA SC25</t>
  </si>
  <si>
    <t>R2-C</t>
  </si>
  <si>
    <t>GRITS PRE-COZIDO SC 25</t>
  </si>
  <si>
    <t>SEMOLA DE MILHO SC25</t>
  </si>
  <si>
    <t>R2-D</t>
  </si>
  <si>
    <t>AVEIA DESCASCADA BAG 1000 KG</t>
  </si>
  <si>
    <t>AVEIA LAMINADA SC25</t>
  </si>
  <si>
    <t>R2-E</t>
  </si>
  <si>
    <t>FLOCAO DE MILHO BAG</t>
  </si>
  <si>
    <t>FLOCOS DE MILHO BAG</t>
  </si>
  <si>
    <t>R2-F</t>
  </si>
  <si>
    <t>MILHO LAMINADO BAG</t>
  </si>
  <si>
    <t>MILHO INTEGRAL FLOCULADO</t>
  </si>
  <si>
    <t>R3-A</t>
  </si>
  <si>
    <t>MILHO IND. BAG</t>
  </si>
  <si>
    <t>R3-B</t>
  </si>
  <si>
    <t>R3-C</t>
  </si>
  <si>
    <t>R3-D</t>
  </si>
  <si>
    <t>R3-E</t>
  </si>
  <si>
    <t>R4-A</t>
  </si>
  <si>
    <t>R4-B</t>
  </si>
  <si>
    <t>R4-C</t>
  </si>
  <si>
    <t>R4-D</t>
  </si>
  <si>
    <t>R4-E</t>
  </si>
  <si>
    <t>R4-F</t>
  </si>
  <si>
    <t>R5-C01</t>
  </si>
  <si>
    <t>R5-C02</t>
  </si>
  <si>
    <t>R5-C03</t>
  </si>
  <si>
    <t>R5-C04</t>
  </si>
  <si>
    <t>R5-C05</t>
  </si>
  <si>
    <t>R5-C06</t>
  </si>
  <si>
    <t>R5-C07</t>
  </si>
  <si>
    <t>R5-C08</t>
  </si>
  <si>
    <t>R5-C09</t>
  </si>
  <si>
    <t>R5-C10</t>
  </si>
  <si>
    <t>R5-C11</t>
  </si>
  <si>
    <t>R5-C12</t>
  </si>
  <si>
    <t>R6-C01</t>
  </si>
  <si>
    <t>R6-C02</t>
  </si>
  <si>
    <t>R6-C03</t>
  </si>
  <si>
    <t>R6-C04</t>
  </si>
  <si>
    <t>R6-C05</t>
  </si>
  <si>
    <t>R6-C06</t>
  </si>
  <si>
    <t>R6-C07</t>
  </si>
  <si>
    <t>R6-C08</t>
  </si>
  <si>
    <t>R6-C09</t>
  </si>
  <si>
    <t>R6-C10</t>
  </si>
  <si>
    <t>R6-C11</t>
  </si>
  <si>
    <t>R6-C12</t>
  </si>
  <si>
    <t>R6-C13</t>
  </si>
  <si>
    <t>R7-C01</t>
  </si>
  <si>
    <t>R7-C02</t>
  </si>
  <si>
    <t>R7-C03</t>
  </si>
  <si>
    <t>R7-C04</t>
  </si>
  <si>
    <t>R7-C05</t>
  </si>
  <si>
    <t>R7-C06</t>
  </si>
  <si>
    <t>R7-C07</t>
  </si>
  <si>
    <t>R7-C08</t>
  </si>
  <si>
    <t>Status</t>
  </si>
  <si>
    <t>Lote</t>
  </si>
  <si>
    <t>Qtd.Uni</t>
  </si>
  <si>
    <t>Produto</t>
  </si>
  <si>
    <t>Observação</t>
  </si>
  <si>
    <t>Qtd.Posições</t>
  </si>
  <si>
    <t>Qtd.Kilo</t>
  </si>
  <si>
    <t>Controle de Estoque Grits e Flakes</t>
  </si>
  <si>
    <t>Cod. SAP</t>
  </si>
  <si>
    <t>Data de NF</t>
  </si>
  <si>
    <t xml:space="preserve">Qtd. Un. </t>
  </si>
  <si>
    <t>Estoque SAP</t>
  </si>
  <si>
    <t>Qualidade</t>
  </si>
  <si>
    <t>OBS.:</t>
  </si>
  <si>
    <t>x</t>
  </si>
  <si>
    <t>R8-C01</t>
  </si>
  <si>
    <t>SC PP MILHO 50X60 25KG LAM VALV</t>
  </si>
  <si>
    <t>R8-C02</t>
  </si>
  <si>
    <t>R8-C03</t>
  </si>
  <si>
    <t>R8-C04</t>
  </si>
  <si>
    <t>SC PP FUBA 50X58 25KG LAM VAL NUTRIMILHO</t>
  </si>
  <si>
    <t>R8-C05</t>
  </si>
  <si>
    <t>SC PP MILHO 60X79 50KG LAM VALV</t>
  </si>
  <si>
    <t>R8-C06</t>
  </si>
  <si>
    <t>R9-C01</t>
  </si>
  <si>
    <t>BAG PP GERAL AGR BRANCO 1250KG</t>
  </si>
  <si>
    <t>R9-C02</t>
  </si>
  <si>
    <t>R9-C03</t>
  </si>
  <si>
    <t>BIG BAG POLIPRO 90X90X165CM DESCARTAVEL</t>
  </si>
  <si>
    <t>R9-C04</t>
  </si>
  <si>
    <t>Total</t>
  </si>
  <si>
    <t>Descrição</t>
  </si>
  <si>
    <t>COD.</t>
  </si>
  <si>
    <t>QTD.</t>
  </si>
  <si>
    <t>Compra?</t>
  </si>
  <si>
    <t>Consumo médio de embalagens em relação ao mês anterior</t>
  </si>
  <si>
    <t>SC PP FUBA 50X58 25KG LAM VALV IMPERIAL</t>
  </si>
  <si>
    <t>SC PP MILHO 50X60 25KG INTEGRADA</t>
  </si>
  <si>
    <t>MIX FUMARATO E ACIDO FOLICO KG</t>
  </si>
  <si>
    <t>ETIQUETA 100MMX50MM DIAM 75MM</t>
  </si>
  <si>
    <t>RIBON RESINA 110X450MM ALTERNATIVA</t>
  </si>
  <si>
    <t>Requisição de Compra Criada</t>
  </si>
  <si>
    <t>Data</t>
  </si>
  <si>
    <t>Mês</t>
  </si>
  <si>
    <t>Embalagem</t>
  </si>
  <si>
    <t>Qtd. Un. (contagem)</t>
  </si>
  <si>
    <t>Pedido Recebido</t>
  </si>
  <si>
    <t>Consumo Médio</t>
  </si>
  <si>
    <t>Alcance (Meses)</t>
  </si>
  <si>
    <t>QTD. Un.</t>
  </si>
  <si>
    <t>Data Requisição</t>
  </si>
  <si>
    <t>CHAPA DE PAPELAO ONDULADO 1200x1000</t>
  </si>
  <si>
    <t>PAPEL FILME TRANSP BOBINA 5KG</t>
  </si>
  <si>
    <t>PALLET DE MADEIRA PBR</t>
  </si>
  <si>
    <t>SC PP FUBA 50X58 25KG LAM VALV GARINA</t>
  </si>
  <si>
    <t>Material</t>
  </si>
  <si>
    <t>Código SAP</t>
  </si>
  <si>
    <t>Peso</t>
  </si>
  <si>
    <t>Senha Proteção</t>
  </si>
  <si>
    <t>estoque</t>
  </si>
  <si>
    <t xml:space="preserve">FUBA DE MILHO BAG </t>
  </si>
  <si>
    <t>Bag 1250</t>
  </si>
  <si>
    <t>OK</t>
  </si>
  <si>
    <t xml:space="preserve">Bag 1000 </t>
  </si>
  <si>
    <t>FUBA DE MILHO BAG 1250 KG EXP</t>
  </si>
  <si>
    <t>NOK</t>
  </si>
  <si>
    <t>FUBA DE MILHO SC25</t>
  </si>
  <si>
    <t>SC25</t>
  </si>
  <si>
    <t>FUBA MIMOSO SC25</t>
  </si>
  <si>
    <t>Bag 800</t>
  </si>
  <si>
    <t>FUBA ITALIANO BAG</t>
  </si>
  <si>
    <t>FUBA ITALIANO SC25</t>
  </si>
  <si>
    <t>CANJICA DE MILHO BAG</t>
  </si>
  <si>
    <t xml:space="preserve">Bag 1100 </t>
  </si>
  <si>
    <t>Referência POPALM002</t>
  </si>
  <si>
    <t>Lote; quantidade; condições gerais e higiene; amostra da embalagem para qualidade</t>
  </si>
  <si>
    <t>Laudo do Fornecedor</t>
  </si>
  <si>
    <t>Identificar os palltes com o A4</t>
  </si>
  <si>
    <t>Colocar a observação da conferência do estoque contábil</t>
  </si>
  <si>
    <t>Liberação de controle de qualidade</t>
  </si>
  <si>
    <t>Na MIGO registrar no depósito 3230</t>
  </si>
  <si>
    <t>Após o registro, enviar NF para pagamento</t>
  </si>
  <si>
    <t>não</t>
  </si>
  <si>
    <t>sim</t>
  </si>
  <si>
    <t>Rotinas (definir(semanal, mensal…)</t>
  </si>
  <si>
    <t>Não</t>
  </si>
  <si>
    <t>Sim</t>
  </si>
  <si>
    <t>Conforme Kanban definido Dono de Area</t>
  </si>
  <si>
    <t>Tranferir do depósito 3230 para 3231</t>
  </si>
  <si>
    <t>PROCEDIMENTO OPERACIONAL PADRÃO
Receber e armazenar materiais de estoque</t>
  </si>
  <si>
    <r>
      <t xml:space="preserve">Departamento / Setor : </t>
    </r>
    <r>
      <rPr>
        <b/>
        <sz val="14"/>
        <color theme="1"/>
        <rFont val="Arial"/>
        <family val="2"/>
      </rPr>
      <t>Grits e Flakes</t>
    </r>
  </si>
  <si>
    <r>
      <t xml:space="preserve">Código: </t>
    </r>
    <r>
      <rPr>
        <b/>
        <sz val="14"/>
        <color theme="1"/>
        <rFont val="Arial"/>
        <family val="2"/>
      </rPr>
      <t>POPAGF029</t>
    </r>
    <r>
      <rPr>
        <sz val="14"/>
        <color theme="1"/>
        <rFont val="Arial"/>
        <family val="2"/>
      </rPr>
      <t xml:space="preserve">
Estabelecido em: </t>
    </r>
    <r>
      <rPr>
        <b/>
        <sz val="14"/>
        <color theme="1"/>
        <rFont val="Arial"/>
        <family val="2"/>
      </rPr>
      <t>09/11/2021</t>
    </r>
    <r>
      <rPr>
        <sz val="14"/>
        <color theme="1"/>
        <rFont val="Arial"/>
        <family val="2"/>
      </rPr>
      <t xml:space="preserve">
Revisão N° </t>
    </r>
    <r>
      <rPr>
        <b/>
        <sz val="14"/>
        <color theme="1"/>
        <rFont val="Arial"/>
        <family val="2"/>
      </rPr>
      <t>00</t>
    </r>
    <r>
      <rPr>
        <sz val="14"/>
        <color theme="1"/>
        <rFont val="Arial"/>
        <family val="2"/>
      </rPr>
      <t xml:space="preserve">      
Em:        </t>
    </r>
  </si>
  <si>
    <t>Rensponsável</t>
  </si>
  <si>
    <t>Quem</t>
  </si>
  <si>
    <t>Observações</t>
  </si>
  <si>
    <t>Expedição / Qualidade / Administrativo / Produção</t>
  </si>
  <si>
    <t>Expedição</t>
  </si>
  <si>
    <t>Expedição / Qualidade</t>
  </si>
  <si>
    <t>Conforme características a serem avaliadas no lote de controle tipo 1 do SAP. 
Disponibilizar amostra da embalagem para qualidade</t>
  </si>
  <si>
    <t>Identificar os pallets com papel A4 com as seguintes informaçês: Data da nota fiscal, n° de identificação da nota fiscal,  Fornecedor e quantidade de embalagens</t>
  </si>
  <si>
    <t>Administrativo</t>
  </si>
  <si>
    <t>Colocar a observação da conferência do estoque contábil após o registro e enviar NF para pagamento.
Na MIGO registrar no depósito 0230. Realizar no lote de controle tipo 1 do SAP
a liberação de controle de qualidade</t>
  </si>
  <si>
    <t xml:space="preserve">Administrativo </t>
  </si>
  <si>
    <t>Limpeza Quinzenal.</t>
  </si>
  <si>
    <t>Produção</t>
  </si>
  <si>
    <t>Verificar necessidade conforme Kanban definido pelo dono de Area</t>
  </si>
  <si>
    <r>
      <t xml:space="preserve">Elaborado por: </t>
    </r>
    <r>
      <rPr>
        <b/>
        <sz val="14"/>
        <color theme="1"/>
        <rFont val="Arial"/>
        <family val="2"/>
      </rPr>
      <t>Nicollas Eduardo Oliveira</t>
    </r>
  </si>
  <si>
    <r>
      <t xml:space="preserve">Aprovado por: </t>
    </r>
    <r>
      <rPr>
        <b/>
        <sz val="14"/>
        <color theme="1"/>
        <rFont val="Arial"/>
        <family val="2"/>
      </rPr>
      <t>Rudolf Gerber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</si>
</sst>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.mm\.yyyy;@"/>
    <numFmt numFmtId="165" formatCode="#,##0.0"/>
  </numFmts>
  <fonts count="2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Calibri"/>
      <family val="2"/>
      <scheme val="minor"/>
    </font>
    <font>
      <sz val="12"/>
      <color theme="1"/>
      <name val="Arial"/>
      <family val="2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b/>
      <sz val="16"/>
      <color theme="0"/>
      <name val="Arial"/>
      <family val="2"/>
    </font>
    <font>
      <sz val="13"/>
      <color theme="1"/>
      <name val="Arial"/>
      <family val="2"/>
    </font>
    <font>
      <sz val="13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9" tint="-0.249977111117893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0"/>
      <name val="Century Gothic"/>
      <family val="2"/>
    </font>
    <font>
      <sz val="18"/>
      <color theme="0"/>
      <name val="Georgia"/>
      <family val="1"/>
    </font>
    <font>
      <sz val="12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6"/>
      <color theme="0"/>
      <name val="Garamond"/>
      <family val="1"/>
    </font>
    <font>
      <b/>
      <sz val="12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b/>
      <i/>
      <sz val="14"/>
      <color theme="0"/>
      <name val="Georgia"/>
      <family val="1"/>
    </font>
    <font>
      <sz val="11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</borders>
  <cellStyleXfs count="3">
    <xf numFmtId="0" fontId="0" fillId="0" borderId="0"/>
    <xf numFmtId="9" fontId="14" fillId="0" borderId="0" applyFont="0" applyFill="0" applyBorder="0" applyAlignment="0" applyProtection="0"/>
    <xf numFmtId="0" fontId="22" fillId="15" borderId="32" applyNumberFormat="0" applyAlignment="0" applyProtection="0"/>
  </cellStyleXfs>
  <cellXfs count="18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9" borderId="1" xfId="0" applyFont="1" applyFill="1" applyBorder="1"/>
    <xf numFmtId="0" fontId="2" fillId="5" borderId="1" xfId="0" applyFont="1" applyFill="1" applyBorder="1"/>
    <xf numFmtId="0" fontId="0" fillId="10" borderId="0" xfId="0" applyFill="1"/>
    <xf numFmtId="0" fontId="8" fillId="10" borderId="4" xfId="0" applyFont="1" applyFill="1" applyBorder="1"/>
    <xf numFmtId="0" fontId="8" fillId="10" borderId="0" xfId="0" applyFont="1" applyFill="1"/>
    <xf numFmtId="0" fontId="8" fillId="10" borderId="24" xfId="0" applyFont="1" applyFill="1" applyBorder="1"/>
    <xf numFmtId="0" fontId="8" fillId="10" borderId="2" xfId="0" applyFont="1" applyFill="1" applyBorder="1"/>
    <xf numFmtId="0" fontId="0" fillId="10" borderId="0" xfId="0" applyFill="1" applyAlignment="1">
      <alignment wrapText="1"/>
    </xf>
    <xf numFmtId="0" fontId="13" fillId="11" borderId="22" xfId="0" applyFont="1" applyFill="1" applyBorder="1"/>
    <xf numFmtId="0" fontId="13" fillId="11" borderId="16" xfId="0" applyFont="1" applyFill="1" applyBorder="1"/>
    <xf numFmtId="0" fontId="13" fillId="11" borderId="14" xfId="0" applyFont="1" applyFill="1" applyBorder="1"/>
    <xf numFmtId="0" fontId="13" fillId="11" borderId="12" xfId="0" applyFont="1" applyFill="1" applyBorder="1"/>
    <xf numFmtId="0" fontId="13" fillId="11" borderId="0" xfId="0" applyFont="1" applyFill="1"/>
    <xf numFmtId="0" fontId="13" fillId="11" borderId="2" xfId="0" applyFont="1" applyFill="1" applyBorder="1"/>
    <xf numFmtId="0" fontId="12" fillId="11" borderId="12" xfId="0" applyFont="1" applyFill="1" applyBorder="1" applyAlignment="1">
      <alignment vertical="center"/>
    </xf>
    <xf numFmtId="0" fontId="12" fillId="11" borderId="0" xfId="0" applyFont="1" applyFill="1" applyAlignment="1">
      <alignment vertical="center"/>
    </xf>
    <xf numFmtId="0" fontId="12" fillId="11" borderId="2" xfId="0" applyFont="1" applyFill="1" applyBorder="1" applyAlignment="1">
      <alignment vertical="center"/>
    </xf>
    <xf numFmtId="0" fontId="8" fillId="10" borderId="29" xfId="0" applyFont="1" applyFill="1" applyBorder="1"/>
    <xf numFmtId="0" fontId="13" fillId="11" borderId="13" xfId="0" applyFont="1" applyFill="1" applyBorder="1"/>
    <xf numFmtId="0" fontId="13" fillId="11" borderId="17" xfId="0" applyFont="1" applyFill="1" applyBorder="1"/>
    <xf numFmtId="0" fontId="13" fillId="11" borderId="15" xfId="0" applyFont="1" applyFill="1" applyBorder="1"/>
    <xf numFmtId="0" fontId="12" fillId="11" borderId="13" xfId="0" applyFont="1" applyFill="1" applyBorder="1" applyAlignment="1">
      <alignment vertical="center"/>
    </xf>
    <xf numFmtId="0" fontId="12" fillId="11" borderId="17" xfId="0" applyFont="1" applyFill="1" applyBorder="1" applyAlignment="1">
      <alignment vertical="center"/>
    </xf>
    <xf numFmtId="0" fontId="12" fillId="11" borderId="15" xfId="0" applyFont="1" applyFill="1" applyBorder="1" applyAlignment="1">
      <alignment vertical="center"/>
    </xf>
    <xf numFmtId="0" fontId="8" fillId="10" borderId="30" xfId="0" applyFont="1" applyFill="1" applyBorder="1"/>
    <xf numFmtId="0" fontId="0" fillId="0" borderId="1" xfId="0" applyBorder="1" applyAlignment="1">
      <alignment horizontal="center" wrapText="1"/>
    </xf>
    <xf numFmtId="3" fontId="0" fillId="0" borderId="0" xfId="0" applyNumberFormat="1" applyAlignment="1">
      <alignment horizontal="center"/>
    </xf>
    <xf numFmtId="3" fontId="0" fillId="0" borderId="0" xfId="0" applyNumberFormat="1"/>
    <xf numFmtId="17" fontId="0" fillId="0" borderId="1" xfId="0" applyNumberFormat="1" applyBorder="1" applyAlignment="1">
      <alignment horizontal="center"/>
    </xf>
    <xf numFmtId="0" fontId="4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4" fillId="0" borderId="2" xfId="0" applyFont="1" applyBorder="1" applyAlignment="1" applyProtection="1">
      <alignment vertical="center"/>
      <protection locked="0"/>
    </xf>
    <xf numFmtId="0" fontId="1" fillId="8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3" fontId="0" fillId="0" borderId="1" xfId="0" applyNumberFormat="1" applyBorder="1" applyAlignment="1" applyProtection="1">
      <alignment horizontal="center"/>
      <protection locked="0"/>
    </xf>
    <xf numFmtId="3" fontId="1" fillId="8" borderId="1" xfId="0" applyNumberFormat="1" applyFont="1" applyFill="1" applyBorder="1" applyAlignment="1" applyProtection="1">
      <alignment horizontal="center"/>
      <protection locked="0"/>
    </xf>
    <xf numFmtId="0" fontId="3" fillId="3" borderId="3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2" fillId="3" borderId="16" xfId="0" applyFont="1" applyFill="1" applyBorder="1" applyAlignment="1">
      <alignment horizontal="center"/>
    </xf>
    <xf numFmtId="9" fontId="15" fillId="0" borderId="0" xfId="1" applyFont="1" applyBorder="1" applyAlignment="1" applyProtection="1">
      <alignment horizontal="center" vertical="center"/>
      <protection locked="0"/>
    </xf>
    <xf numFmtId="3" fontId="1" fillId="8" borderId="0" xfId="0" applyNumberFormat="1" applyFont="1" applyFill="1" applyAlignment="1" applyProtection="1">
      <alignment horizontal="center"/>
      <protection locked="0"/>
    </xf>
    <xf numFmtId="0" fontId="3" fillId="7" borderId="1" xfId="0" applyFont="1" applyFill="1" applyBorder="1" applyAlignment="1">
      <alignment horizontal="center"/>
    </xf>
    <xf numFmtId="0" fontId="1" fillId="8" borderId="1" xfId="0" applyFont="1" applyFill="1" applyBorder="1" applyAlignment="1" applyProtection="1">
      <alignment horizontal="left"/>
      <protection locked="0"/>
    </xf>
    <xf numFmtId="17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 wrapText="1"/>
      <protection locked="0"/>
    </xf>
    <xf numFmtId="0" fontId="0" fillId="0" borderId="1" xfId="0" applyBorder="1" applyProtection="1">
      <protection locked="0"/>
    </xf>
    <xf numFmtId="17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3" fontId="0" fillId="0" borderId="0" xfId="0" applyNumberForma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3" fontId="2" fillId="0" borderId="0" xfId="0" applyNumberFormat="1" applyFon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165" fontId="0" fillId="0" borderId="1" xfId="0" applyNumberFormat="1" applyBorder="1" applyAlignment="1" applyProtection="1">
      <alignment horizontal="center"/>
      <protection locked="0"/>
    </xf>
    <xf numFmtId="0" fontId="0" fillId="11" borderId="1" xfId="0" applyFill="1" applyBorder="1" applyAlignment="1" applyProtection="1">
      <alignment horizontal="center"/>
      <protection locked="0"/>
    </xf>
    <xf numFmtId="164" fontId="0" fillId="11" borderId="1" xfId="0" applyNumberFormat="1" applyFill="1" applyBorder="1" applyAlignment="1" applyProtection="1">
      <alignment horizontal="center"/>
      <protection locked="0"/>
    </xf>
    <xf numFmtId="0" fontId="0" fillId="11" borderId="1" xfId="0" applyFill="1" applyBorder="1"/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12" borderId="1" xfId="0" applyFill="1" applyBorder="1"/>
    <xf numFmtId="3" fontId="0" fillId="0" borderId="1" xfId="0" applyNumberFormat="1" applyBorder="1"/>
    <xf numFmtId="14" fontId="0" fillId="0" borderId="0" xfId="0" applyNumberFormat="1" applyProtection="1">
      <protection locked="0"/>
    </xf>
    <xf numFmtId="14" fontId="2" fillId="0" borderId="0" xfId="0" applyNumberFormat="1" applyFont="1" applyAlignment="1" applyProtection="1">
      <alignment horizontal="center"/>
      <protection locked="0"/>
    </xf>
    <xf numFmtId="0" fontId="0" fillId="12" borderId="1" xfId="0" applyFill="1" applyBorder="1" applyProtection="1">
      <protection locked="0"/>
    </xf>
    <xf numFmtId="0" fontId="0" fillId="12" borderId="1" xfId="0" applyFill="1" applyBorder="1" applyAlignment="1" applyProtection="1">
      <alignment horizontal="center"/>
      <protection locked="0"/>
    </xf>
    <xf numFmtId="0" fontId="0" fillId="0" borderId="1" xfId="0" applyBorder="1" applyAlignment="1">
      <alignment horizontal="right" vertical="center"/>
    </xf>
    <xf numFmtId="0" fontId="1" fillId="13" borderId="1" xfId="0" applyFont="1" applyFill="1" applyBorder="1" applyAlignment="1" applyProtection="1">
      <alignment horizontal="center"/>
      <protection locked="0"/>
    </xf>
    <xf numFmtId="9" fontId="0" fillId="0" borderId="0" xfId="1" applyFont="1" applyAlignment="1">
      <alignment horizontal="center"/>
    </xf>
    <xf numFmtId="0" fontId="0" fillId="14" borderId="0" xfId="0" applyFill="1"/>
    <xf numFmtId="0" fontId="4" fillId="14" borderId="0" xfId="0" applyFont="1" applyFill="1" applyAlignment="1" applyProtection="1">
      <alignment horizontal="center" vertical="center"/>
      <protection locked="0"/>
    </xf>
    <xf numFmtId="0" fontId="7" fillId="14" borderId="0" xfId="0" applyFont="1" applyFill="1" applyAlignment="1" applyProtection="1">
      <alignment vertical="center"/>
      <protection locked="0"/>
    </xf>
    <xf numFmtId="0" fontId="19" fillId="14" borderId="22" xfId="0" applyFont="1" applyFill="1" applyBorder="1"/>
    <xf numFmtId="0" fontId="19" fillId="14" borderId="12" xfId="0" applyFont="1" applyFill="1" applyBorder="1"/>
    <xf numFmtId="0" fontId="19" fillId="14" borderId="23" xfId="0" applyFont="1" applyFill="1" applyBorder="1"/>
    <xf numFmtId="0" fontId="19" fillId="14" borderId="14" xfId="0" applyFont="1" applyFill="1" applyBorder="1"/>
    <xf numFmtId="0" fontId="19" fillId="14" borderId="2" xfId="0" applyFont="1" applyFill="1" applyBorder="1"/>
    <xf numFmtId="0" fontId="19" fillId="14" borderId="24" xfId="0" applyFont="1" applyFill="1" applyBorder="1"/>
    <xf numFmtId="0" fontId="21" fillId="14" borderId="0" xfId="0" applyFont="1" applyFill="1"/>
    <xf numFmtId="0" fontId="23" fillId="0" borderId="0" xfId="0" applyFont="1" applyAlignment="1">
      <alignment vertical="center"/>
    </xf>
    <xf numFmtId="0" fontId="22" fillId="15" borderId="32" xfId="2" applyAlignment="1">
      <alignment horizontal="center"/>
    </xf>
    <xf numFmtId="9" fontId="22" fillId="15" borderId="32" xfId="2" applyNumberFormat="1" applyAlignment="1">
      <alignment horizontal="center"/>
    </xf>
    <xf numFmtId="0" fontId="22" fillId="15" borderId="32" xfId="2"/>
    <xf numFmtId="0" fontId="22" fillId="15" borderId="33" xfId="2" applyBorder="1"/>
    <xf numFmtId="0" fontId="22" fillId="15" borderId="33" xfId="2" applyBorder="1" applyAlignment="1">
      <alignment horizontal="center"/>
    </xf>
    <xf numFmtId="9" fontId="22" fillId="15" borderId="33" xfId="2" applyNumberFormat="1" applyBorder="1" applyAlignment="1">
      <alignment horizontal="center"/>
    </xf>
    <xf numFmtId="0" fontId="26" fillId="16" borderId="1" xfId="2" applyFont="1" applyFill="1" applyBorder="1" applyAlignment="1">
      <alignment vertical="center"/>
    </xf>
    <xf numFmtId="0" fontId="25" fillId="16" borderId="1" xfId="2" applyFont="1" applyFill="1" applyBorder="1" applyAlignment="1">
      <alignment vertical="center"/>
    </xf>
    <xf numFmtId="0" fontId="24" fillId="14" borderId="1" xfId="2" applyFont="1" applyFill="1" applyBorder="1" applyAlignment="1">
      <alignment horizontal="center"/>
    </xf>
    <xf numFmtId="9" fontId="24" fillId="14" borderId="1" xfId="2" applyNumberFormat="1" applyFont="1" applyFill="1" applyBorder="1" applyAlignment="1">
      <alignment horizontal="center"/>
    </xf>
    <xf numFmtId="0" fontId="18" fillId="14" borderId="0" xfId="0" applyFont="1" applyFill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20" fillId="14" borderId="0" xfId="0" applyFont="1" applyFill="1" applyAlignment="1">
      <alignment horizontal="center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1" fillId="8" borderId="1" xfId="0" applyFont="1" applyFill="1" applyBorder="1" applyAlignment="1" applyProtection="1">
      <alignment horizontal="center"/>
      <protection locked="0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3" fontId="1" fillId="8" borderId="31" xfId="0" applyNumberFormat="1" applyFont="1" applyFill="1" applyBorder="1" applyAlignment="1" applyProtection="1">
      <alignment horizontal="center"/>
      <protection locked="0"/>
    </xf>
    <xf numFmtId="3" fontId="1" fillId="8" borderId="28" xfId="0" applyNumberFormat="1" applyFont="1" applyFill="1" applyBorder="1" applyAlignment="1" applyProtection="1">
      <alignment horizont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16" fillId="0" borderId="1" xfId="0" applyFont="1" applyBorder="1" applyAlignment="1" applyProtection="1">
      <alignment horizontal="center" vertical="center"/>
      <protection locked="0"/>
    </xf>
    <xf numFmtId="0" fontId="13" fillId="11" borderId="23" xfId="0" applyFont="1" applyFill="1" applyBorder="1" applyAlignment="1">
      <alignment horizontal="center"/>
    </xf>
    <xf numFmtId="0" fontId="13" fillId="11" borderId="4" xfId="0" applyFont="1" applyFill="1" applyBorder="1" applyAlignment="1">
      <alignment horizontal="center"/>
    </xf>
    <xf numFmtId="0" fontId="12" fillId="10" borderId="23" xfId="0" applyFont="1" applyFill="1" applyBorder="1" applyAlignment="1">
      <alignment horizontal="center" vertical="center"/>
    </xf>
    <xf numFmtId="0" fontId="12" fillId="10" borderId="4" xfId="0" applyFont="1" applyFill="1" applyBorder="1" applyAlignment="1">
      <alignment horizontal="center" vertical="center"/>
    </xf>
    <xf numFmtId="0" fontId="12" fillId="10" borderId="24" xfId="0" applyFont="1" applyFill="1" applyBorder="1" applyAlignment="1">
      <alignment horizontal="center" vertical="center"/>
    </xf>
    <xf numFmtId="0" fontId="13" fillId="11" borderId="24" xfId="0" applyFont="1" applyFill="1" applyBorder="1" applyAlignment="1">
      <alignment horizontal="center"/>
    </xf>
    <xf numFmtId="0" fontId="9" fillId="10" borderId="0" xfId="0" applyFont="1" applyFill="1" applyAlignment="1">
      <alignment horizontal="center" vertical="center" wrapText="1"/>
    </xf>
    <xf numFmtId="0" fontId="12" fillId="10" borderId="12" xfId="0" applyFont="1" applyFill="1" applyBorder="1" applyAlignment="1">
      <alignment horizontal="center" vertical="center" wrapText="1"/>
    </xf>
    <xf numFmtId="0" fontId="12" fillId="10" borderId="13" xfId="0" applyFont="1" applyFill="1" applyBorder="1" applyAlignment="1">
      <alignment horizontal="center" vertical="center" wrapText="1"/>
    </xf>
    <xf numFmtId="0" fontId="12" fillId="10" borderId="0" xfId="0" applyFont="1" applyFill="1" applyAlignment="1">
      <alignment horizontal="center" vertical="center" wrapText="1"/>
    </xf>
    <xf numFmtId="0" fontId="12" fillId="10" borderId="17" xfId="0" applyFont="1" applyFill="1" applyBorder="1" applyAlignment="1">
      <alignment horizontal="center" vertical="center" wrapText="1"/>
    </xf>
    <xf numFmtId="0" fontId="12" fillId="10" borderId="2" xfId="0" applyFont="1" applyFill="1" applyBorder="1" applyAlignment="1">
      <alignment horizontal="center" vertical="center" wrapText="1"/>
    </xf>
    <xf numFmtId="0" fontId="12" fillId="10" borderId="15" xfId="0" applyFont="1" applyFill="1" applyBorder="1" applyAlignment="1">
      <alignment horizontal="center" vertical="center" wrapText="1"/>
    </xf>
    <xf numFmtId="0" fontId="12" fillId="10" borderId="23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24" xfId="0" applyFont="1" applyFill="1" applyBorder="1" applyAlignment="1">
      <alignment horizontal="center" vertical="center" wrapText="1"/>
    </xf>
    <xf numFmtId="0" fontId="13" fillId="11" borderId="22" xfId="0" applyFont="1" applyFill="1" applyBorder="1" applyAlignment="1">
      <alignment horizontal="center"/>
    </xf>
    <xf numFmtId="0" fontId="13" fillId="11" borderId="13" xfId="0" applyFont="1" applyFill="1" applyBorder="1" applyAlignment="1">
      <alignment horizontal="center"/>
    </xf>
    <xf numFmtId="0" fontId="13" fillId="11" borderId="16" xfId="0" applyFont="1" applyFill="1" applyBorder="1" applyAlignment="1">
      <alignment horizontal="center"/>
    </xf>
    <xf numFmtId="0" fontId="13" fillId="11" borderId="17" xfId="0" applyFont="1" applyFill="1" applyBorder="1" applyAlignment="1">
      <alignment horizontal="center"/>
    </xf>
    <xf numFmtId="0" fontId="13" fillId="11" borderId="14" xfId="0" applyFont="1" applyFill="1" applyBorder="1" applyAlignment="1">
      <alignment horizontal="center"/>
    </xf>
    <xf numFmtId="0" fontId="13" fillId="11" borderId="15" xfId="0" applyFont="1" applyFill="1" applyBorder="1" applyAlignment="1">
      <alignment horizontal="center"/>
    </xf>
    <xf numFmtId="0" fontId="12" fillId="10" borderId="22" xfId="0" applyFont="1" applyFill="1" applyBorder="1" applyAlignment="1">
      <alignment horizontal="center" vertical="center" wrapText="1"/>
    </xf>
    <xf numFmtId="0" fontId="12" fillId="10" borderId="16" xfId="0" applyFont="1" applyFill="1" applyBorder="1" applyAlignment="1">
      <alignment horizontal="center" vertical="center" wrapText="1"/>
    </xf>
    <xf numFmtId="0" fontId="12" fillId="10" borderId="14" xfId="0" applyFont="1" applyFill="1" applyBorder="1" applyAlignment="1">
      <alignment horizontal="center" vertical="center" wrapText="1"/>
    </xf>
    <xf numFmtId="0" fontId="12" fillId="11" borderId="3" xfId="0" applyFont="1" applyFill="1" applyBorder="1" applyAlignment="1">
      <alignment horizontal="center" vertical="center"/>
    </xf>
    <xf numFmtId="0" fontId="12" fillId="11" borderId="26" xfId="0" applyFont="1" applyFill="1" applyBorder="1" applyAlignment="1">
      <alignment horizontal="center" vertical="center"/>
    </xf>
    <xf numFmtId="0" fontId="12" fillId="11" borderId="27" xfId="0" applyFont="1" applyFill="1" applyBorder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12" fillId="10" borderId="26" xfId="0" applyFont="1" applyFill="1" applyBorder="1" applyAlignment="1">
      <alignment horizontal="center" vertical="center"/>
    </xf>
    <xf numFmtId="0" fontId="12" fillId="10" borderId="27" xfId="0" applyFont="1" applyFill="1" applyBorder="1" applyAlignment="1">
      <alignment horizontal="center" vertical="center"/>
    </xf>
    <xf numFmtId="0" fontId="9" fillId="9" borderId="6" xfId="0" applyFont="1" applyFill="1" applyBorder="1" applyAlignment="1">
      <alignment horizontal="center"/>
    </xf>
    <xf numFmtId="0" fontId="9" fillId="9" borderId="8" xfId="0" applyFont="1" applyFill="1" applyBorder="1" applyAlignment="1">
      <alignment horizontal="center"/>
    </xf>
    <xf numFmtId="0" fontId="9" fillId="9" borderId="9" xfId="0" applyFont="1" applyFill="1" applyBorder="1" applyAlignment="1">
      <alignment horizontal="center"/>
    </xf>
    <xf numFmtId="0" fontId="11" fillId="9" borderId="21" xfId="0" applyFont="1" applyFill="1" applyBorder="1" applyAlignment="1">
      <alignment horizontal="center" vertical="center" wrapText="1"/>
    </xf>
    <xf numFmtId="0" fontId="11" fillId="9" borderId="7" xfId="0" applyFont="1" applyFill="1" applyBorder="1" applyAlignment="1">
      <alignment horizontal="center" vertical="center" wrapText="1"/>
    </xf>
    <xf numFmtId="0" fontId="11" fillId="9" borderId="19" xfId="0" applyFont="1" applyFill="1" applyBorder="1" applyAlignment="1">
      <alignment horizontal="center" vertical="center" wrapText="1"/>
    </xf>
    <xf numFmtId="0" fontId="11" fillId="9" borderId="16" xfId="0" applyFont="1" applyFill="1" applyBorder="1" applyAlignment="1">
      <alignment horizontal="center" vertical="center" wrapText="1"/>
    </xf>
    <xf numFmtId="0" fontId="11" fillId="9" borderId="0" xfId="0" applyFont="1" applyFill="1" applyAlignment="1">
      <alignment horizontal="center" vertical="center" wrapText="1"/>
    </xf>
    <xf numFmtId="0" fontId="11" fillId="9" borderId="17" xfId="0" applyFont="1" applyFill="1" applyBorder="1" applyAlignment="1">
      <alignment horizontal="center" vertical="center" wrapText="1"/>
    </xf>
    <xf numFmtId="0" fontId="11" fillId="9" borderId="14" xfId="0" applyFont="1" applyFill="1" applyBorder="1" applyAlignment="1">
      <alignment horizontal="center" vertical="center" wrapText="1"/>
    </xf>
    <xf numFmtId="0" fontId="11" fillId="9" borderId="2" xfId="0" applyFont="1" applyFill="1" applyBorder="1" applyAlignment="1">
      <alignment horizontal="center" vertical="center" wrapText="1"/>
    </xf>
    <xf numFmtId="0" fontId="11" fillId="9" borderId="15" xfId="0" applyFont="1" applyFill="1" applyBorder="1" applyAlignment="1">
      <alignment horizontal="center" vertical="center" wrapText="1"/>
    </xf>
    <xf numFmtId="0" fontId="9" fillId="11" borderId="10" xfId="0" applyFont="1" applyFill="1" applyBorder="1" applyAlignment="1">
      <alignment horizontal="center"/>
    </xf>
    <xf numFmtId="0" fontId="9" fillId="11" borderId="5" xfId="0" applyFont="1" applyFill="1" applyBorder="1" applyAlignment="1">
      <alignment horizontal="center"/>
    </xf>
    <xf numFmtId="0" fontId="9" fillId="11" borderId="28" xfId="0" applyFont="1" applyFill="1" applyBorder="1" applyAlignment="1">
      <alignment horizontal="center"/>
    </xf>
    <xf numFmtId="0" fontId="9" fillId="10" borderId="11" xfId="0" applyFont="1" applyFill="1" applyBorder="1" applyAlignment="1">
      <alignment horizontal="right"/>
    </xf>
    <xf numFmtId="0" fontId="9" fillId="10" borderId="18" xfId="0" applyFont="1" applyFill="1" applyBorder="1" applyAlignment="1">
      <alignment horizontal="right"/>
    </xf>
    <xf numFmtId="0" fontId="9" fillId="10" borderId="20" xfId="0" applyFont="1" applyFill="1" applyBorder="1" applyAlignment="1">
      <alignment horizontal="left"/>
    </xf>
    <xf numFmtId="0" fontId="9" fillId="10" borderId="18" xfId="0" applyFont="1" applyFill="1" applyBorder="1" applyAlignment="1">
      <alignment horizontal="left"/>
    </xf>
    <xf numFmtId="0" fontId="8" fillId="10" borderId="23" xfId="0" applyFont="1" applyFill="1" applyBorder="1" applyAlignment="1">
      <alignment horizontal="center"/>
    </xf>
    <xf numFmtId="0" fontId="8" fillId="10" borderId="4" xfId="0" applyFont="1" applyFill="1" applyBorder="1" applyAlignment="1">
      <alignment horizontal="center"/>
    </xf>
    <xf numFmtId="0" fontId="8" fillId="10" borderId="12" xfId="0" applyFont="1" applyFill="1" applyBorder="1" applyAlignment="1">
      <alignment horizontal="center"/>
    </xf>
    <xf numFmtId="0" fontId="8" fillId="10" borderId="0" xfId="0" applyFont="1" applyFill="1" applyAlignment="1">
      <alignment horizontal="center"/>
    </xf>
    <xf numFmtId="0" fontId="8" fillId="10" borderId="25" xfId="0" applyFont="1" applyFill="1" applyBorder="1" applyAlignment="1">
      <alignment horizontal="center"/>
    </xf>
    <xf numFmtId="0" fontId="8" fillId="10" borderId="29" xfId="0" applyFont="1" applyFill="1" applyBorder="1" applyAlignment="1">
      <alignment horizontal="center"/>
    </xf>
    <xf numFmtId="0" fontId="13" fillId="11" borderId="12" xfId="0" applyFont="1" applyFill="1" applyBorder="1" applyAlignment="1">
      <alignment horizontal="center" vertical="center" wrapText="1"/>
    </xf>
    <xf numFmtId="0" fontId="13" fillId="11" borderId="13" xfId="0" applyFont="1" applyFill="1" applyBorder="1" applyAlignment="1">
      <alignment horizontal="center" vertical="center" wrapText="1"/>
    </xf>
    <xf numFmtId="0" fontId="13" fillId="11" borderId="0" xfId="0" applyFont="1" applyFill="1" applyAlignment="1">
      <alignment horizontal="center" vertical="center" wrapText="1"/>
    </xf>
    <xf numFmtId="0" fontId="13" fillId="11" borderId="17" xfId="0" applyFont="1" applyFill="1" applyBorder="1" applyAlignment="1">
      <alignment horizontal="center" vertical="center" wrapText="1"/>
    </xf>
    <xf numFmtId="0" fontId="13" fillId="11" borderId="2" xfId="0" applyFont="1" applyFill="1" applyBorder="1" applyAlignment="1">
      <alignment horizontal="center" vertical="center" wrapText="1"/>
    </xf>
    <xf numFmtId="0" fontId="13" fillId="11" borderId="15" xfId="0" applyFont="1" applyFill="1" applyBorder="1" applyAlignment="1">
      <alignment horizontal="center" vertical="center" wrapText="1"/>
    </xf>
    <xf numFmtId="0" fontId="9" fillId="10" borderId="22" xfId="0" applyFont="1" applyFill="1" applyBorder="1" applyAlignment="1">
      <alignment horizontal="center" vertical="center" wrapText="1"/>
    </xf>
    <xf numFmtId="0" fontId="9" fillId="10" borderId="13" xfId="0" applyFont="1" applyFill="1" applyBorder="1" applyAlignment="1">
      <alignment horizontal="center" vertical="center"/>
    </xf>
    <xf numFmtId="0" fontId="9" fillId="10" borderId="25" xfId="0" applyFont="1" applyFill="1" applyBorder="1" applyAlignment="1">
      <alignment horizontal="left" vertical="center"/>
    </xf>
    <xf numFmtId="0" fontId="9" fillId="10" borderId="12" xfId="0" applyFont="1" applyFill="1" applyBorder="1" applyAlignment="1">
      <alignment horizontal="left" vertical="center"/>
    </xf>
    <xf numFmtId="0" fontId="9" fillId="11" borderId="10" xfId="0" applyFont="1" applyFill="1" applyBorder="1" applyAlignment="1">
      <alignment horizontal="center" vertical="center" wrapText="1"/>
    </xf>
    <xf numFmtId="0" fontId="9" fillId="11" borderId="5" xfId="0" applyFont="1" applyFill="1" applyBorder="1" applyAlignment="1">
      <alignment horizontal="center" vertical="center" wrapText="1"/>
    </xf>
    <xf numFmtId="0" fontId="9" fillId="11" borderId="28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/>
    </xf>
    <xf numFmtId="0" fontId="10" fillId="11" borderId="13" xfId="0" applyFont="1" applyFill="1" applyBorder="1" applyAlignment="1">
      <alignment horizontal="center" vertical="center"/>
    </xf>
    <xf numFmtId="0" fontId="10" fillId="11" borderId="14" xfId="0" applyFont="1" applyFill="1" applyBorder="1" applyAlignment="1">
      <alignment horizontal="center" vertical="center"/>
    </xf>
    <xf numFmtId="0" fontId="10" fillId="11" borderId="15" xfId="0" applyFont="1" applyFill="1" applyBorder="1" applyAlignment="1">
      <alignment horizontal="center" vertical="center"/>
    </xf>
    <xf numFmtId="0" fontId="10" fillId="11" borderId="3" xfId="0" applyFont="1" applyFill="1" applyBorder="1" applyAlignment="1">
      <alignment horizontal="center" vertical="center"/>
    </xf>
    <xf numFmtId="0" fontId="10" fillId="11" borderId="27" xfId="0" applyFont="1" applyFill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Saída" xfId="2" builtinId="21"/>
  </cellStyles>
  <dxfs count="2"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8A898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overbr.com.br/midia-corporativa/cinco-passos-para-evitar-erros-no-estoque-de-mercadorias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476250</xdr:colOff>
      <xdr:row>3</xdr:row>
      <xdr:rowOff>28575</xdr:rowOff>
    </xdr:from>
    <xdr:to>
      <xdr:col>16</xdr:col>
      <xdr:colOff>85724</xdr:colOff>
      <xdr:row>27</xdr:row>
      <xdr:rowOff>46129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chemeClr val="bg1">
              <a:lumMod val="75000"/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476250" y="600075"/>
          <a:ext cx="9363074" cy="4761004"/>
        </a:xfrm>
        <a:prstGeom prst="rect">
          <a:avLst/>
        </a:prstGeom>
      </xdr:spPr>
    </xdr:pic>
    <xdr:clientData/>
  </xdr:twoCellAnchor>
  <xdr:oneCellAnchor>
    <xdr:from>
      <xdr:col>2</xdr:col>
      <xdr:colOff>352425</xdr:colOff>
      <xdr:row>20</xdr:row>
      <xdr:rowOff>28575</xdr:rowOff>
    </xdr:from>
    <xdr:ext cx="5905500" cy="233205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1571625" y="3933825"/>
          <a:ext cx="5905500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pt-BR" sz="900"/>
        </a:p>
      </xdr:txBody>
    </xdr:sp>
    <xdr:clientData/>
  </xdr:oneCellAnchor>
  <xdr:twoCellAnchor>
    <xdr:from>
      <xdr:col>2</xdr:col>
      <xdr:colOff>104775</xdr:colOff>
      <xdr:row>6</xdr:row>
      <xdr:rowOff>142875</xdr:rowOff>
    </xdr:from>
    <xdr:to>
      <xdr:col>14</xdr:col>
      <xdr:colOff>523875</xdr:colOff>
      <xdr:row>21</xdr:row>
      <xdr:rowOff>38100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23975" y="1285875"/>
          <a:ext cx="7734300" cy="2924175"/>
        </a:xfrm>
        <a:prstGeom prst="rect">
          <a:avLst/>
        </a:prstGeom>
        <a:noFill/>
        <a:ln>
          <a:solidFill>
            <a:schemeClr val="bg1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9525</xdr:colOff>
      <xdr:row>0</xdr:row>
      <xdr:rowOff>0</xdr:rowOff>
    </xdr:from>
    <xdr:to>
      <xdr:col>17</xdr:col>
      <xdr:colOff>142874</xdr:colOff>
      <xdr:row>6</xdr:row>
      <xdr:rowOff>9523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9525" y="0"/>
          <a:ext cx="10496549" cy="1152523"/>
          <a:chOff x="9525" y="0"/>
          <a:chExt cx="10496549" cy="1152523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525" y="0"/>
            <a:ext cx="9458325" cy="476251"/>
          </a:xfrm>
          <a:prstGeom prst="rect">
            <a:avLst/>
          </a:prstGeom>
          <a:solidFill>
            <a:schemeClr val="tx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>
                <a:latin typeface="Georgia" panose="02040502050405020303" pitchFamily="18" charset="0"/>
              </a:rPr>
              <a:t>           Controle</a:t>
            </a:r>
            <a:r>
              <a:rPr lang="pt-BR" sz="1800" baseline="0">
                <a:latin typeface="Georgia" panose="02040502050405020303" pitchFamily="18" charset="0"/>
              </a:rPr>
              <a:t> de Estoque</a:t>
            </a:r>
            <a:r>
              <a:rPr lang="pt-BR" sz="1100" baseline="0"/>
              <a:t> </a:t>
            </a:r>
            <a:endParaRPr lang="pt-BR" sz="1100"/>
          </a:p>
        </xdr:txBody>
      </xdr:sp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9525" y="466725"/>
            <a:ext cx="10020299" cy="666749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 b="1">
              <a:solidFill>
                <a:schemeClr val="tx2"/>
              </a:solidFill>
              <a:latin typeface="Georgia" panose="02040502050405020303" pitchFamily="18" charset="0"/>
            </a:endParaRPr>
          </a:p>
        </xdr:txBody>
      </xdr:sp>
      <xdr:sp macro="" textlink="">
        <xdr:nvSpPr>
          <xdr:cNvPr id="12" name="Triângulo isósceles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 rot="10800000">
            <a:off x="8905875" y="9525"/>
            <a:ext cx="1085850" cy="552450"/>
          </a:xfrm>
          <a:prstGeom prst="triangle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" name="Triângulo isósceles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458325" y="0"/>
            <a:ext cx="1028700" cy="552450"/>
          </a:xfrm>
          <a:prstGeom prst="triangle">
            <a:avLst/>
          </a:prstGeom>
          <a:solidFill>
            <a:schemeClr val="accent1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Triângulo isósceles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 rot="10800000">
            <a:off x="9448800" y="552448"/>
            <a:ext cx="1057274" cy="600075"/>
          </a:xfrm>
          <a:prstGeom prst="triangle">
            <a:avLst/>
          </a:prstGeom>
          <a:solidFill>
            <a:schemeClr val="accent1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2</xdr:row>
          <xdr:rowOff>171450</xdr:rowOff>
        </xdr:from>
        <xdr:to>
          <xdr:col>13</xdr:col>
          <xdr:colOff>104775</xdr:colOff>
          <xdr:row>5</xdr:row>
          <xdr:rowOff>57150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Formulário 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533400</xdr:colOff>
      <xdr:row>1</xdr:row>
      <xdr:rowOff>76200</xdr:rowOff>
    </xdr:from>
    <xdr:to>
      <xdr:col>3</xdr:col>
      <xdr:colOff>180975</xdr:colOff>
      <xdr:row>4</xdr:row>
      <xdr:rowOff>171450</xdr:rowOff>
    </xdr:to>
    <xdr:sp macro="" textlink="">
      <xdr:nvSpPr>
        <xdr:cNvPr id="16" name="Retângulo: Cantos Diagonais Arredondado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533400" y="266700"/>
          <a:ext cx="1476375" cy="666750"/>
        </a:xfrm>
        <a:prstGeom prst="round2DiagRect">
          <a:avLst/>
        </a:prstGeom>
        <a:solidFill>
          <a:schemeClr val="accent1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2</xdr:row>
          <xdr:rowOff>161925</xdr:rowOff>
        </xdr:from>
        <xdr:to>
          <xdr:col>15</xdr:col>
          <xdr:colOff>209550</xdr:colOff>
          <xdr:row>5</xdr:row>
          <xdr:rowOff>47625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561975</xdr:colOff>
      <xdr:row>1</xdr:row>
      <xdr:rowOff>47625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0" y="0"/>
          <a:ext cx="9277350" cy="1066800"/>
          <a:chOff x="9525" y="0"/>
          <a:chExt cx="10496549" cy="1152522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9525" y="0"/>
            <a:ext cx="9458325" cy="476251"/>
          </a:xfrm>
          <a:prstGeom prst="rect">
            <a:avLst/>
          </a:prstGeom>
          <a:solidFill>
            <a:schemeClr val="tx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>
                <a:latin typeface="Georgia" panose="02040502050405020303" pitchFamily="18" charset="0"/>
              </a:rPr>
              <a:t>           Dados</a:t>
            </a:r>
            <a:r>
              <a:rPr lang="pt-BR" sz="1800" baseline="0">
                <a:latin typeface="Georgia" panose="02040502050405020303" pitchFamily="18" charset="0"/>
              </a:rPr>
              <a:t> do Estoque</a:t>
            </a:r>
            <a:r>
              <a:rPr lang="pt-BR" sz="1100" baseline="0"/>
              <a:t> </a:t>
            </a:r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9525" y="467561"/>
            <a:ext cx="10020299" cy="666749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 b="1">
              <a:solidFill>
                <a:schemeClr val="tx2"/>
              </a:solidFill>
              <a:latin typeface="Georgia" panose="02040502050405020303" pitchFamily="18" charset="0"/>
            </a:endParaRPr>
          </a:p>
        </xdr:txBody>
      </xdr:sp>
      <xdr:sp macro="" textlink="">
        <xdr:nvSpPr>
          <xdr:cNvPr id="5" name="Triângulo isósceles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 rot="10800000">
            <a:off x="8905875" y="9525"/>
            <a:ext cx="1085850" cy="552450"/>
          </a:xfrm>
          <a:prstGeom prst="triangle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Triângulo isósceles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9458325" y="0"/>
            <a:ext cx="1028700" cy="552450"/>
          </a:xfrm>
          <a:prstGeom prst="triangle">
            <a:avLst/>
          </a:prstGeom>
          <a:solidFill>
            <a:schemeClr val="accent1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" name="Triângulo isósceles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 rot="10800000">
            <a:off x="9448800" y="552447"/>
            <a:ext cx="1057274" cy="600075"/>
          </a:xfrm>
          <a:prstGeom prst="triangle">
            <a:avLst/>
          </a:prstGeom>
          <a:solidFill>
            <a:schemeClr val="accent1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342900</xdr:colOff>
      <xdr:row>0</xdr:row>
      <xdr:rowOff>180975</xdr:rowOff>
    </xdr:from>
    <xdr:to>
      <xdr:col>1</xdr:col>
      <xdr:colOff>628650</xdr:colOff>
      <xdr:row>0</xdr:row>
      <xdr:rowOff>847725</xdr:rowOff>
    </xdr:to>
    <xdr:sp macro="" textlink="">
      <xdr:nvSpPr>
        <xdr:cNvPr id="10" name="Retângulo: Cantos Diagonais Arredondado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42900" y="180975"/>
          <a:ext cx="1476375" cy="666750"/>
        </a:xfrm>
        <a:prstGeom prst="round2DiagRect">
          <a:avLst/>
        </a:prstGeom>
        <a:solidFill>
          <a:schemeClr val="accent1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0</xdr:row>
          <xdr:rowOff>561975</xdr:rowOff>
        </xdr:from>
        <xdr:to>
          <xdr:col>8</xdr:col>
          <xdr:colOff>552450</xdr:colOff>
          <xdr:row>0</xdr:row>
          <xdr:rowOff>933450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Salvar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47625</xdr:rowOff>
    </xdr:from>
    <xdr:to>
      <xdr:col>2</xdr:col>
      <xdr:colOff>229433</xdr:colOff>
      <xdr:row>3</xdr:row>
      <xdr:rowOff>133350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47625"/>
          <a:ext cx="1077158" cy="762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0</xdr:row>
      <xdr:rowOff>28575</xdr:rowOff>
    </xdr:from>
    <xdr:to>
      <xdr:col>2</xdr:col>
      <xdr:colOff>285750</xdr:colOff>
      <xdr:row>1</xdr:row>
      <xdr:rowOff>220318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325" y="28575"/>
          <a:ext cx="809625" cy="57274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180974</xdr:colOff>
      <xdr:row>4</xdr:row>
      <xdr:rowOff>76201</xdr:rowOff>
    </xdr:from>
    <xdr:to>
      <xdr:col>10</xdr:col>
      <xdr:colOff>28575</xdr:colOff>
      <xdr:row>8</xdr:row>
      <xdr:rowOff>38100</xdr:rowOff>
    </xdr:to>
    <xdr:sp macro="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448174" y="457201"/>
          <a:ext cx="1676401" cy="723899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Recebimento de embalagens</a:t>
          </a:r>
          <a:endParaRPr lang="pt-BR" sz="1100"/>
        </a:p>
      </xdr:txBody>
    </xdr:sp>
    <xdr:clientData/>
  </xdr:twoCellAnchor>
  <xdr:twoCellAnchor>
    <xdr:from>
      <xdr:col>8</xdr:col>
      <xdr:colOff>409575</xdr:colOff>
      <xdr:row>8</xdr:row>
      <xdr:rowOff>38100</xdr:rowOff>
    </xdr:from>
    <xdr:to>
      <xdr:col>8</xdr:col>
      <xdr:colOff>409575</xdr:colOff>
      <xdr:row>11</xdr:row>
      <xdr:rowOff>95250</xdr:rowOff>
    </xdr:to>
    <xdr:cxnSp macro="">
      <xdr:nvCxnSpPr>
        <xdr:cNvPr id="4" name="Conexão reta unidirecional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>
          <a:stCxn id="2" idx="2"/>
        </xdr:cNvCxnSpPr>
      </xdr:nvCxnSpPr>
      <xdr:spPr>
        <a:xfrm>
          <a:off x="5286375" y="1181100"/>
          <a:ext cx="0" cy="6286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76200</xdr:colOff>
      <xdr:row>11</xdr:row>
      <xdr:rowOff>133350</xdr:rowOff>
    </xdr:from>
    <xdr:to>
      <xdr:col>10</xdr:col>
      <xdr:colOff>76200</xdr:colOff>
      <xdr:row>15</xdr:row>
      <xdr:rowOff>38100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4343400" y="1847850"/>
          <a:ext cx="1828800" cy="6667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Fazer Check list de recebimento</a:t>
          </a:r>
        </a:p>
        <a:p>
          <a:pPr algn="ctr"/>
          <a:endParaRPr lang="pt-BR" sz="1100"/>
        </a:p>
      </xdr:txBody>
    </xdr:sp>
    <xdr:clientData/>
  </xdr:twoCellAnchor>
  <xdr:twoCellAnchor>
    <xdr:from>
      <xdr:col>8</xdr:col>
      <xdr:colOff>412296</xdr:colOff>
      <xdr:row>15</xdr:row>
      <xdr:rowOff>84365</xdr:rowOff>
    </xdr:from>
    <xdr:to>
      <xdr:col>8</xdr:col>
      <xdr:colOff>412296</xdr:colOff>
      <xdr:row>18</xdr:row>
      <xdr:rowOff>141515</xdr:rowOff>
    </xdr:to>
    <xdr:cxnSp macro="">
      <xdr:nvCxnSpPr>
        <xdr:cNvPr id="6" name="Conexão reta unidirecional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CxnSpPr/>
      </xdr:nvCxnSpPr>
      <xdr:spPr>
        <a:xfrm>
          <a:off x="5310867" y="2941865"/>
          <a:ext cx="0" cy="6286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18</xdr:row>
      <xdr:rowOff>152400</xdr:rowOff>
    </xdr:from>
    <xdr:to>
      <xdr:col>10</xdr:col>
      <xdr:colOff>38100</xdr:colOff>
      <xdr:row>22</xdr:row>
      <xdr:rowOff>57150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4305300" y="3581400"/>
          <a:ext cx="1828800" cy="6667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Descarregar</a:t>
          </a:r>
          <a:r>
            <a:rPr lang="pt-BR" sz="1100" baseline="0"/>
            <a:t> os materiais em local provisório para conferência</a:t>
          </a:r>
          <a:endParaRPr lang="pt-BR" sz="1100"/>
        </a:p>
        <a:p>
          <a:pPr algn="ctr"/>
          <a:endParaRPr lang="pt-BR" sz="1100"/>
        </a:p>
      </xdr:txBody>
    </xdr:sp>
    <xdr:clientData/>
  </xdr:twoCellAnchor>
  <xdr:twoCellAnchor>
    <xdr:from>
      <xdr:col>6</xdr:col>
      <xdr:colOff>590550</xdr:colOff>
      <xdr:row>26</xdr:row>
      <xdr:rowOff>38100</xdr:rowOff>
    </xdr:from>
    <xdr:to>
      <xdr:col>10</xdr:col>
      <xdr:colOff>28575</xdr:colOff>
      <xdr:row>32</xdr:row>
      <xdr:rowOff>161925</xdr:rowOff>
    </xdr:to>
    <xdr:sp macro="" textlink="">
      <xdr:nvSpPr>
        <xdr:cNvPr id="8" name="Fluxograma: decisã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248150" y="4991100"/>
          <a:ext cx="1876425" cy="1266825"/>
        </a:xfrm>
        <a:prstGeom prst="flowChartDecisi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Material correto e conforme?</a:t>
          </a:r>
        </a:p>
      </xdr:txBody>
    </xdr:sp>
    <xdr:clientData/>
  </xdr:twoCellAnchor>
  <xdr:twoCellAnchor>
    <xdr:from>
      <xdr:col>8</xdr:col>
      <xdr:colOff>333375</xdr:colOff>
      <xdr:row>22</xdr:row>
      <xdr:rowOff>76200</xdr:rowOff>
    </xdr:from>
    <xdr:to>
      <xdr:col>8</xdr:col>
      <xdr:colOff>333375</xdr:colOff>
      <xdr:row>25</xdr:row>
      <xdr:rowOff>133350</xdr:rowOff>
    </xdr:to>
    <xdr:cxnSp macro="">
      <xdr:nvCxnSpPr>
        <xdr:cNvPr id="9" name="Conexão reta unidirecional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CxnSpPr/>
      </xdr:nvCxnSpPr>
      <xdr:spPr>
        <a:xfrm>
          <a:off x="5210175" y="4267200"/>
          <a:ext cx="0" cy="6286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390525</xdr:colOff>
      <xdr:row>32</xdr:row>
      <xdr:rowOff>123825</xdr:rowOff>
    </xdr:from>
    <xdr:to>
      <xdr:col>7</xdr:col>
      <xdr:colOff>466725</xdr:colOff>
      <xdr:row>34</xdr:row>
      <xdr:rowOff>104775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4048125" y="6219825"/>
          <a:ext cx="685800" cy="3619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Não</a:t>
          </a:r>
        </a:p>
        <a:p>
          <a:pPr algn="ctr"/>
          <a:endParaRPr lang="pt-BR" sz="1100" b="1"/>
        </a:p>
      </xdr:txBody>
    </xdr:sp>
    <xdr:clientData/>
  </xdr:twoCellAnchor>
  <xdr:twoCellAnchor>
    <xdr:from>
      <xdr:col>9</xdr:col>
      <xdr:colOff>371475</xdr:colOff>
      <xdr:row>32</xdr:row>
      <xdr:rowOff>123825</xdr:rowOff>
    </xdr:from>
    <xdr:to>
      <xdr:col>10</xdr:col>
      <xdr:colOff>447675</xdr:colOff>
      <xdr:row>34</xdr:row>
      <xdr:rowOff>114300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5857875" y="6219825"/>
          <a:ext cx="685800" cy="371475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Sim</a:t>
          </a:r>
        </a:p>
      </xdr:txBody>
    </xdr:sp>
    <xdr:clientData/>
  </xdr:twoCellAnchor>
  <xdr:twoCellAnchor>
    <xdr:from>
      <xdr:col>6</xdr:col>
      <xdr:colOff>19050</xdr:colOff>
      <xdr:row>29</xdr:row>
      <xdr:rowOff>100012</xdr:rowOff>
    </xdr:from>
    <xdr:to>
      <xdr:col>6</xdr:col>
      <xdr:colOff>590550</xdr:colOff>
      <xdr:row>43</xdr:row>
      <xdr:rowOff>95249</xdr:rowOff>
    </xdr:to>
    <xdr:cxnSp macro="">
      <xdr:nvCxnSpPr>
        <xdr:cNvPr id="16" name="Conexão em ângulos retos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CxnSpPr>
          <a:stCxn id="8" idx="1"/>
        </xdr:cNvCxnSpPr>
      </xdr:nvCxnSpPr>
      <xdr:spPr>
        <a:xfrm rot="10800000" flipV="1">
          <a:off x="3676650" y="5624512"/>
          <a:ext cx="571500" cy="2662237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533400</xdr:colOff>
      <xdr:row>44</xdr:row>
      <xdr:rowOff>0</xdr:rowOff>
    </xdr:from>
    <xdr:to>
      <xdr:col>7</xdr:col>
      <xdr:colOff>333375</xdr:colOff>
      <xdr:row>47</xdr:row>
      <xdr:rowOff>66675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2971800" y="8382000"/>
          <a:ext cx="1628775" cy="638175"/>
        </a:xfrm>
        <a:prstGeom prst="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Re</a:t>
          </a:r>
          <a:r>
            <a:rPr lang="pt-BR" sz="1100">
              <a:solidFill>
                <a:sysClr val="windowText" lastClr="000000"/>
              </a:solidFill>
            </a:rPr>
            <a:t>Recusar</a:t>
          </a:r>
          <a:r>
            <a:rPr lang="pt-BR" sz="1100" baseline="0">
              <a:solidFill>
                <a:sysClr val="windowText" lastClr="000000"/>
              </a:solidFill>
            </a:rPr>
            <a:t> Mercadoria (Nota fiscal)</a:t>
          </a:r>
          <a:endParaRPr lang="pt-BR" sz="1100"/>
        </a:p>
      </xdr:txBody>
    </xdr:sp>
    <xdr:clientData/>
  </xdr:twoCellAnchor>
  <xdr:twoCellAnchor>
    <xdr:from>
      <xdr:col>6</xdr:col>
      <xdr:colOff>9525</xdr:colOff>
      <xdr:row>47</xdr:row>
      <xdr:rowOff>85725</xdr:rowOff>
    </xdr:from>
    <xdr:to>
      <xdr:col>6</xdr:col>
      <xdr:colOff>9525</xdr:colOff>
      <xdr:row>50</xdr:row>
      <xdr:rowOff>142875</xdr:rowOff>
    </xdr:to>
    <xdr:cxnSp macro="">
      <xdr:nvCxnSpPr>
        <xdr:cNvPr id="18" name="Conexão reta unidirecional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CxnSpPr/>
      </xdr:nvCxnSpPr>
      <xdr:spPr>
        <a:xfrm>
          <a:off x="3667125" y="9039225"/>
          <a:ext cx="0" cy="6286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457200</xdr:colOff>
      <xdr:row>51</xdr:row>
      <xdr:rowOff>19050</xdr:rowOff>
    </xdr:from>
    <xdr:to>
      <xdr:col>7</xdr:col>
      <xdr:colOff>238125</xdr:colOff>
      <xdr:row>54</xdr:row>
      <xdr:rowOff>95250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2895600" y="9734550"/>
          <a:ext cx="1609725" cy="6477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Notificar</a:t>
          </a:r>
          <a:r>
            <a:rPr lang="pt-BR" sz="1100" baseline="0"/>
            <a:t> comprador</a:t>
          </a:r>
          <a:endParaRPr lang="pt-BR" sz="1100"/>
        </a:p>
        <a:p>
          <a:pPr algn="ctr"/>
          <a:endParaRPr lang="pt-BR" sz="1100"/>
        </a:p>
      </xdr:txBody>
    </xdr:sp>
    <xdr:clientData/>
  </xdr:twoCellAnchor>
  <xdr:twoCellAnchor>
    <xdr:from>
      <xdr:col>5</xdr:col>
      <xdr:colOff>600075</xdr:colOff>
      <xdr:row>54</xdr:row>
      <xdr:rowOff>114300</xdr:rowOff>
    </xdr:from>
    <xdr:to>
      <xdr:col>5</xdr:col>
      <xdr:colOff>600075</xdr:colOff>
      <xdr:row>57</xdr:row>
      <xdr:rowOff>171450</xdr:rowOff>
    </xdr:to>
    <xdr:cxnSp macro="">
      <xdr:nvCxnSpPr>
        <xdr:cNvPr id="20" name="Conexão reta unidirecional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CxnSpPr/>
      </xdr:nvCxnSpPr>
      <xdr:spPr>
        <a:xfrm>
          <a:off x="3648075" y="10401300"/>
          <a:ext cx="0" cy="6286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409575</xdr:colOff>
      <xdr:row>58</xdr:row>
      <xdr:rowOff>47625</xdr:rowOff>
    </xdr:from>
    <xdr:to>
      <xdr:col>7</xdr:col>
      <xdr:colOff>190500</xdr:colOff>
      <xdr:row>61</xdr:row>
      <xdr:rowOff>123825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>
        <a:xfrm>
          <a:off x="2847975" y="11096625"/>
          <a:ext cx="1609725" cy="6477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Comunicar o Fornecedor</a:t>
          </a:r>
        </a:p>
        <a:p>
          <a:pPr algn="ctr"/>
          <a:endParaRPr lang="pt-BR" sz="1100"/>
        </a:p>
      </xdr:txBody>
    </xdr:sp>
    <xdr:clientData/>
  </xdr:twoCellAnchor>
  <xdr:twoCellAnchor>
    <xdr:from>
      <xdr:col>10</xdr:col>
      <xdr:colOff>28575</xdr:colOff>
      <xdr:row>29</xdr:row>
      <xdr:rowOff>100013</xdr:rowOff>
    </xdr:from>
    <xdr:to>
      <xdr:col>10</xdr:col>
      <xdr:colOff>523875</xdr:colOff>
      <xdr:row>64</xdr:row>
      <xdr:rowOff>38100</xdr:rowOff>
    </xdr:to>
    <xdr:cxnSp macro="">
      <xdr:nvCxnSpPr>
        <xdr:cNvPr id="25" name="Conexão em ângulos retos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CxnSpPr>
          <a:stCxn id="8" idx="3"/>
        </xdr:cNvCxnSpPr>
      </xdr:nvCxnSpPr>
      <xdr:spPr>
        <a:xfrm>
          <a:off x="6124575" y="5624513"/>
          <a:ext cx="495300" cy="6605587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323850</xdr:colOff>
      <xdr:row>64</xdr:row>
      <xdr:rowOff>133350</xdr:rowOff>
    </xdr:from>
    <xdr:to>
      <xdr:col>12</xdr:col>
      <xdr:colOff>104775</xdr:colOff>
      <xdr:row>68</xdr:row>
      <xdr:rowOff>19050</xdr:rowOff>
    </xdr:to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>
        <a:xfrm>
          <a:off x="5810250" y="12325350"/>
          <a:ext cx="1609725" cy="6477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Realizar entrada</a:t>
          </a:r>
          <a:r>
            <a:rPr lang="pt-BR" sz="1100" baseline="0"/>
            <a:t> Fiscal do Material</a:t>
          </a:r>
          <a:endParaRPr lang="pt-BR" sz="1100"/>
        </a:p>
        <a:p>
          <a:pPr algn="ctr"/>
          <a:endParaRPr lang="pt-BR" sz="1100"/>
        </a:p>
      </xdr:txBody>
    </xdr:sp>
    <xdr:clientData/>
  </xdr:twoCellAnchor>
  <xdr:twoCellAnchor>
    <xdr:from>
      <xdr:col>10</xdr:col>
      <xdr:colOff>476250</xdr:colOff>
      <xdr:row>68</xdr:row>
      <xdr:rowOff>19050</xdr:rowOff>
    </xdr:from>
    <xdr:to>
      <xdr:col>10</xdr:col>
      <xdr:colOff>481013</xdr:colOff>
      <xdr:row>70</xdr:row>
      <xdr:rowOff>76200</xdr:rowOff>
    </xdr:to>
    <xdr:cxnSp macro="">
      <xdr:nvCxnSpPr>
        <xdr:cNvPr id="30" name="Conexão reta unidirecional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CxnSpPr/>
      </xdr:nvCxnSpPr>
      <xdr:spPr>
        <a:xfrm flipH="1">
          <a:off x="6572250" y="12973050"/>
          <a:ext cx="4763" cy="4381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296327</xdr:colOff>
      <xdr:row>77</xdr:row>
      <xdr:rowOff>169324</xdr:rowOff>
    </xdr:from>
    <xdr:to>
      <xdr:col>12</xdr:col>
      <xdr:colOff>77252</xdr:colOff>
      <xdr:row>81</xdr:row>
      <xdr:rowOff>55024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>
        <a:xfrm>
          <a:off x="5757327" y="14294546"/>
          <a:ext cx="1601258" cy="61947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Armazenar materiais</a:t>
          </a:r>
          <a:r>
            <a:rPr lang="pt-BR" sz="1100" baseline="0"/>
            <a:t> conforme FIFO</a:t>
          </a:r>
          <a:endParaRPr lang="pt-BR" sz="1100"/>
        </a:p>
        <a:p>
          <a:pPr algn="ctr"/>
          <a:endParaRPr lang="pt-BR" sz="1100"/>
        </a:p>
      </xdr:txBody>
    </xdr:sp>
    <xdr:clientData/>
  </xdr:twoCellAnchor>
  <xdr:twoCellAnchor>
    <xdr:from>
      <xdr:col>5</xdr:col>
      <xdr:colOff>0</xdr:colOff>
      <xdr:row>68</xdr:row>
      <xdr:rowOff>0</xdr:rowOff>
    </xdr:from>
    <xdr:to>
      <xdr:col>8</xdr:col>
      <xdr:colOff>44803</xdr:colOff>
      <xdr:row>74</xdr:row>
      <xdr:rowOff>123824</xdr:rowOff>
    </xdr:to>
    <xdr:sp macro="" textlink="">
      <xdr:nvSpPr>
        <xdr:cNvPr id="23" name="Fluxograma: decisão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>
        <a:xfrm>
          <a:off x="3033889" y="12474222"/>
          <a:ext cx="1865136" cy="1224491"/>
        </a:xfrm>
        <a:prstGeom prst="flowChartDecisi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Quantidade</a:t>
          </a:r>
          <a:r>
            <a:rPr lang="pt-BR" sz="1100" baseline="0"/>
            <a:t> igual a do pedido?</a:t>
          </a:r>
          <a:endParaRPr lang="pt-BR" sz="1100"/>
        </a:p>
      </xdr:txBody>
    </xdr:sp>
    <xdr:clientData/>
  </xdr:twoCellAnchor>
  <xdr:twoCellAnchor>
    <xdr:from>
      <xdr:col>3</xdr:col>
      <xdr:colOff>0</xdr:colOff>
      <xdr:row>78</xdr:row>
      <xdr:rowOff>0</xdr:rowOff>
    </xdr:from>
    <xdr:to>
      <xdr:col>5</xdr:col>
      <xdr:colOff>387702</xdr:colOff>
      <xdr:row>81</xdr:row>
      <xdr:rowOff>69145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1820333" y="14308667"/>
          <a:ext cx="1601258" cy="61947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Ajustar</a:t>
          </a:r>
          <a:r>
            <a:rPr lang="pt-BR" sz="1100" baseline="0"/>
            <a:t> Pedido</a:t>
          </a:r>
          <a:endParaRPr lang="pt-BR" sz="1100"/>
        </a:p>
        <a:p>
          <a:pPr algn="ctr"/>
          <a:endParaRPr lang="pt-BR" sz="1100"/>
        </a:p>
      </xdr:txBody>
    </xdr:sp>
    <xdr:clientData/>
  </xdr:twoCellAnchor>
  <xdr:twoCellAnchor>
    <xdr:from>
      <xdr:col>10</xdr:col>
      <xdr:colOff>0</xdr:colOff>
      <xdr:row>84</xdr:row>
      <xdr:rowOff>0</xdr:rowOff>
    </xdr:from>
    <xdr:to>
      <xdr:col>12</xdr:col>
      <xdr:colOff>387703</xdr:colOff>
      <xdr:row>87</xdr:row>
      <xdr:rowOff>69144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>
        <a:xfrm>
          <a:off x="6067778" y="15409333"/>
          <a:ext cx="1601258" cy="61947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Realizar</a:t>
          </a:r>
          <a:r>
            <a:rPr lang="pt-BR" sz="1100" baseline="0"/>
            <a:t> </a:t>
          </a:r>
        </a:p>
        <a:p>
          <a:pPr algn="ctr"/>
          <a:r>
            <a:rPr lang="pt-BR" sz="1100" baseline="0"/>
            <a:t>contagens</a:t>
          </a:r>
        </a:p>
        <a:p>
          <a:pPr algn="ctr"/>
          <a:endParaRPr lang="pt-BR" sz="1100"/>
        </a:p>
        <a:p>
          <a:pPr algn="ctr"/>
          <a:endParaRPr lang="pt-BR" sz="1100"/>
        </a:p>
      </xdr:txBody>
    </xdr:sp>
    <xdr:clientData/>
  </xdr:twoCellAnchor>
  <xdr:twoCellAnchor>
    <xdr:from>
      <xdr:col>10</xdr:col>
      <xdr:colOff>0</xdr:colOff>
      <xdr:row>91</xdr:row>
      <xdr:rowOff>0</xdr:rowOff>
    </xdr:from>
    <xdr:to>
      <xdr:col>13</xdr:col>
      <xdr:colOff>44803</xdr:colOff>
      <xdr:row>97</xdr:row>
      <xdr:rowOff>123824</xdr:rowOff>
    </xdr:to>
    <xdr:sp macro="" textlink="">
      <xdr:nvSpPr>
        <xdr:cNvPr id="31" name="Fluxograma: decisão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/>
      </xdr:nvSpPr>
      <xdr:spPr>
        <a:xfrm>
          <a:off x="6067778" y="16693444"/>
          <a:ext cx="1865136" cy="1224491"/>
        </a:xfrm>
        <a:prstGeom prst="flowChartDecisi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Contagem ok</a:t>
          </a:r>
          <a:r>
            <a:rPr lang="pt-BR" sz="1100" baseline="0"/>
            <a:t>?</a:t>
          </a:r>
          <a:endParaRPr lang="pt-BR" sz="1100"/>
        </a:p>
      </xdr:txBody>
    </xdr:sp>
    <xdr:clientData/>
  </xdr:twoCellAnchor>
  <xdr:twoCellAnchor>
    <xdr:from>
      <xdr:col>15</xdr:col>
      <xdr:colOff>0</xdr:colOff>
      <xdr:row>98</xdr:row>
      <xdr:rowOff>0</xdr:rowOff>
    </xdr:from>
    <xdr:to>
      <xdr:col>17</xdr:col>
      <xdr:colOff>387703</xdr:colOff>
      <xdr:row>101</xdr:row>
      <xdr:rowOff>69145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>
        <a:xfrm>
          <a:off x="9101667" y="17977556"/>
          <a:ext cx="1601258" cy="61947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Verificar e corrigir apontamentos</a:t>
          </a:r>
        </a:p>
        <a:p>
          <a:pPr algn="ctr"/>
          <a:endParaRPr lang="pt-BR" sz="1100"/>
        </a:p>
        <a:p>
          <a:pPr algn="ctr"/>
          <a:endParaRPr lang="pt-BR" sz="1100"/>
        </a:p>
      </xdr:txBody>
    </xdr:sp>
    <xdr:clientData/>
  </xdr:twoCellAnchor>
  <xdr:twoCellAnchor>
    <xdr:from>
      <xdr:col>15</xdr:col>
      <xdr:colOff>0</xdr:colOff>
      <xdr:row>78</xdr:row>
      <xdr:rowOff>0</xdr:rowOff>
    </xdr:from>
    <xdr:to>
      <xdr:col>17</xdr:col>
      <xdr:colOff>387703</xdr:colOff>
      <xdr:row>81</xdr:row>
      <xdr:rowOff>69145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/>
      </xdr:nvSpPr>
      <xdr:spPr>
        <a:xfrm>
          <a:off x="9101667" y="14308667"/>
          <a:ext cx="1601258" cy="61947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Realizar</a:t>
          </a:r>
          <a:r>
            <a:rPr lang="pt-BR" sz="1100" baseline="0"/>
            <a:t> limpeza do local onde será armazenado</a:t>
          </a:r>
        </a:p>
        <a:p>
          <a:pPr algn="ctr"/>
          <a:endParaRPr lang="pt-BR" sz="1100"/>
        </a:p>
        <a:p>
          <a:pPr algn="ctr"/>
          <a:endParaRPr lang="pt-BR" sz="1100"/>
        </a:p>
      </xdr:txBody>
    </xdr:sp>
    <xdr:clientData/>
  </xdr:twoCellAnchor>
  <xdr:twoCellAnchor>
    <xdr:from>
      <xdr:col>12</xdr:col>
      <xdr:colOff>4764</xdr:colOff>
      <xdr:row>79</xdr:row>
      <xdr:rowOff>0</xdr:rowOff>
    </xdr:from>
    <xdr:to>
      <xdr:col>14</xdr:col>
      <xdr:colOff>493889</xdr:colOff>
      <xdr:row>79</xdr:row>
      <xdr:rowOff>0</xdr:rowOff>
    </xdr:to>
    <xdr:cxnSp macro="">
      <xdr:nvCxnSpPr>
        <xdr:cNvPr id="35" name="Conexão reta unidirecional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CxnSpPr/>
      </xdr:nvCxnSpPr>
      <xdr:spPr>
        <a:xfrm>
          <a:off x="7286097" y="14492111"/>
          <a:ext cx="1702681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606776</xdr:colOff>
      <xdr:row>106</xdr:row>
      <xdr:rowOff>28220</xdr:rowOff>
    </xdr:from>
    <xdr:to>
      <xdr:col>10</xdr:col>
      <xdr:colOff>472722</xdr:colOff>
      <xdr:row>115</xdr:row>
      <xdr:rowOff>56442</xdr:rowOff>
    </xdr:to>
    <xdr:sp macro="" textlink="">
      <xdr:nvSpPr>
        <xdr:cNvPr id="37" name="Fluxograma: decisão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/>
      </xdr:nvSpPr>
      <xdr:spPr>
        <a:xfrm>
          <a:off x="4247443" y="19473331"/>
          <a:ext cx="2293057" cy="1679222"/>
        </a:xfrm>
        <a:prstGeom prst="flowChartDecisi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Necessidade de abastecimento  ensaque?</a:t>
          </a:r>
        </a:p>
      </xdr:txBody>
    </xdr:sp>
    <xdr:clientData/>
  </xdr:twoCellAnchor>
  <xdr:twoCellAnchor>
    <xdr:from>
      <xdr:col>3</xdr:col>
      <xdr:colOff>0</xdr:colOff>
      <xdr:row>119</xdr:row>
      <xdr:rowOff>0</xdr:rowOff>
    </xdr:from>
    <xdr:to>
      <xdr:col>5</xdr:col>
      <xdr:colOff>387702</xdr:colOff>
      <xdr:row>122</xdr:row>
      <xdr:rowOff>69145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/>
      </xdr:nvSpPr>
      <xdr:spPr>
        <a:xfrm>
          <a:off x="1820333" y="21829889"/>
          <a:ext cx="1601258" cy="61947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Realizar a tranferência contábil e física</a:t>
          </a:r>
        </a:p>
        <a:p>
          <a:pPr algn="ctr"/>
          <a:endParaRPr lang="pt-BR" sz="1100" baseline="0"/>
        </a:p>
        <a:p>
          <a:pPr algn="ctr"/>
          <a:endParaRPr lang="pt-BR" sz="1100"/>
        </a:p>
        <a:p>
          <a:pPr algn="ctr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809625</xdr:colOff>
      <xdr:row>9</xdr:row>
      <xdr:rowOff>9525</xdr:rowOff>
    </xdr:from>
    <xdr:to>
      <xdr:col>2</xdr:col>
      <xdr:colOff>2494190</xdr:colOff>
      <xdr:row>12</xdr:row>
      <xdr:rowOff>161924</xdr:rowOff>
    </xdr:to>
    <xdr:sp macro="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3898446" y="1887311"/>
          <a:ext cx="1684565" cy="723899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300" baseline="0">
              <a:latin typeface="Arial" panose="020B0604020202020204" pitchFamily="34" charset="0"/>
              <a:cs typeface="Arial" panose="020B0604020202020204" pitchFamily="34" charset="0"/>
            </a:rPr>
            <a:t>Recebimento de embalagens</a:t>
          </a:r>
          <a:endParaRPr lang="pt-BR" sz="13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1574347</xdr:colOff>
      <xdr:row>13</xdr:row>
      <xdr:rowOff>0</xdr:rowOff>
    </xdr:from>
    <xdr:to>
      <xdr:col>2</xdr:col>
      <xdr:colOff>1579109</xdr:colOff>
      <xdr:row>15</xdr:row>
      <xdr:rowOff>102054</xdr:rowOff>
    </xdr:to>
    <xdr:cxnSp macro="">
      <xdr:nvCxnSpPr>
        <xdr:cNvPr id="3" name="Conexão reta unidirecional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4663168" y="2639786"/>
          <a:ext cx="4762" cy="48305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888548</xdr:colOff>
      <xdr:row>15</xdr:row>
      <xdr:rowOff>170089</xdr:rowOff>
    </xdr:from>
    <xdr:to>
      <xdr:col>2</xdr:col>
      <xdr:colOff>2269672</xdr:colOff>
      <xdr:row>19</xdr:row>
      <xdr:rowOff>17689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977369" y="3190875"/>
          <a:ext cx="1381124" cy="6096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300">
              <a:latin typeface="Arial" panose="020B0604020202020204" pitchFamily="34" charset="0"/>
              <a:cs typeface="Arial" panose="020B0604020202020204" pitchFamily="34" charset="0"/>
            </a:rPr>
            <a:t>Fazer Checklist de recebimento</a:t>
          </a:r>
        </a:p>
      </xdr:txBody>
    </xdr:sp>
    <xdr:clientData/>
  </xdr:twoCellAnchor>
  <xdr:twoCellAnchor>
    <xdr:from>
      <xdr:col>2</xdr:col>
      <xdr:colOff>768804</xdr:colOff>
      <xdr:row>22</xdr:row>
      <xdr:rowOff>43543</xdr:rowOff>
    </xdr:from>
    <xdr:to>
      <xdr:col>2</xdr:col>
      <xdr:colOff>2443843</xdr:colOff>
      <xdr:row>26</xdr:row>
      <xdr:rowOff>110218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3857625" y="4397829"/>
          <a:ext cx="1675039" cy="8286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300">
              <a:latin typeface="Arial" panose="020B0604020202020204" pitchFamily="34" charset="0"/>
              <a:cs typeface="Arial" panose="020B0604020202020204" pitchFamily="34" charset="0"/>
            </a:rPr>
            <a:t>Descarregar</a:t>
          </a:r>
          <a:r>
            <a:rPr lang="pt-BR" sz="1300" baseline="0">
              <a:latin typeface="Arial" panose="020B0604020202020204" pitchFamily="34" charset="0"/>
              <a:cs typeface="Arial" panose="020B0604020202020204" pitchFamily="34" charset="0"/>
            </a:rPr>
            <a:t> os materiais em local provisório para conferência</a:t>
          </a:r>
          <a:endParaRPr lang="pt-BR" sz="1300"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1592036</xdr:colOff>
      <xdr:row>19</xdr:row>
      <xdr:rowOff>61231</xdr:rowOff>
    </xdr:from>
    <xdr:to>
      <xdr:col>2</xdr:col>
      <xdr:colOff>1592036</xdr:colOff>
      <xdr:row>21</xdr:row>
      <xdr:rowOff>122463</xdr:rowOff>
    </xdr:to>
    <xdr:cxnSp macro="">
      <xdr:nvCxnSpPr>
        <xdr:cNvPr id="6" name="Conexão reta unidirecional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CxnSpPr/>
      </xdr:nvCxnSpPr>
      <xdr:spPr>
        <a:xfrm>
          <a:off x="4680857" y="3844017"/>
          <a:ext cx="0" cy="442232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1545772</xdr:colOff>
      <xdr:row>27</xdr:row>
      <xdr:rowOff>112940</xdr:rowOff>
    </xdr:from>
    <xdr:to>
      <xdr:col>2</xdr:col>
      <xdr:colOff>1545772</xdr:colOff>
      <xdr:row>29</xdr:row>
      <xdr:rowOff>93890</xdr:rowOff>
    </xdr:to>
    <xdr:cxnSp macro="">
      <xdr:nvCxnSpPr>
        <xdr:cNvPr id="7" name="Conexão reta unidirecional 8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CxnSpPr/>
      </xdr:nvCxnSpPr>
      <xdr:spPr>
        <a:xfrm>
          <a:off x="4634593" y="6617154"/>
          <a:ext cx="0" cy="389165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217715</xdr:colOff>
      <xdr:row>29</xdr:row>
      <xdr:rowOff>160564</xdr:rowOff>
    </xdr:from>
    <xdr:to>
      <xdr:col>2</xdr:col>
      <xdr:colOff>2898323</xdr:colOff>
      <xdr:row>36</xdr:row>
      <xdr:rowOff>95249</xdr:rowOff>
    </xdr:to>
    <xdr:sp macro="" textlink="">
      <xdr:nvSpPr>
        <xdr:cNvPr id="8" name="Fluxograma: decisã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3306536" y="7072993"/>
          <a:ext cx="2680608" cy="1363435"/>
        </a:xfrm>
        <a:prstGeom prst="flowChartDecisi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>
              <a:latin typeface="Arial" panose="020B0604020202020204" pitchFamily="34" charset="0"/>
              <a:cs typeface="Arial" panose="020B0604020202020204" pitchFamily="34" charset="0"/>
            </a:rPr>
            <a:t>Material correto e conforme?</a:t>
          </a:r>
        </a:p>
      </xdr:txBody>
    </xdr:sp>
    <xdr:clientData/>
  </xdr:twoCellAnchor>
  <xdr:twoCellAnchor>
    <xdr:from>
      <xdr:col>2</xdr:col>
      <xdr:colOff>322570</xdr:colOff>
      <xdr:row>35</xdr:row>
      <xdr:rowOff>62191</xdr:rowOff>
    </xdr:from>
    <xdr:to>
      <xdr:col>2</xdr:col>
      <xdr:colOff>946735</xdr:colOff>
      <xdr:row>36</xdr:row>
      <xdr:rowOff>157441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3411391" y="8280905"/>
          <a:ext cx="624165" cy="31296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Não</a:t>
          </a:r>
        </a:p>
        <a:p>
          <a:pPr algn="ctr"/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2209800</xdr:colOff>
      <xdr:row>35</xdr:row>
      <xdr:rowOff>73479</xdr:rowOff>
    </xdr:from>
    <xdr:to>
      <xdr:col>2</xdr:col>
      <xdr:colOff>2762250</xdr:colOff>
      <xdr:row>36</xdr:row>
      <xdr:rowOff>178253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5298621" y="8292193"/>
          <a:ext cx="552450" cy="322489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Sim</a:t>
          </a:r>
        </a:p>
      </xdr:txBody>
    </xdr:sp>
    <xdr:clientData/>
  </xdr:twoCellAnchor>
  <xdr:twoCellAnchor>
    <xdr:from>
      <xdr:col>1</xdr:col>
      <xdr:colOff>445674</xdr:colOff>
      <xdr:row>38</xdr:row>
      <xdr:rowOff>95251</xdr:rowOff>
    </xdr:from>
    <xdr:to>
      <xdr:col>1</xdr:col>
      <xdr:colOff>2036349</xdr:colOff>
      <xdr:row>41</xdr:row>
      <xdr:rowOff>190501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1057995" y="8844644"/>
          <a:ext cx="1590675" cy="707571"/>
        </a:xfrm>
        <a:prstGeom prst="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300">
              <a:latin typeface="Arial" panose="020B0604020202020204" pitchFamily="34" charset="0"/>
              <a:cs typeface="Arial" panose="020B0604020202020204" pitchFamily="34" charset="0"/>
            </a:rPr>
            <a:t>Re</a:t>
          </a:r>
          <a:r>
            <a:rPr lang="pt-BR" sz="13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Recusar</a:t>
          </a:r>
          <a:r>
            <a:rPr lang="pt-BR" sz="13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Mercadoria (Nota fiscal)</a:t>
          </a:r>
          <a:endParaRPr lang="pt-BR" sz="13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499382</xdr:colOff>
      <xdr:row>46</xdr:row>
      <xdr:rowOff>66676</xdr:rowOff>
    </xdr:from>
    <xdr:to>
      <xdr:col>1</xdr:col>
      <xdr:colOff>1918607</xdr:colOff>
      <xdr:row>49</xdr:row>
      <xdr:rowOff>19051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1111703" y="10680247"/>
          <a:ext cx="1419225" cy="60551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300">
              <a:latin typeface="Arial" panose="020B0604020202020204" pitchFamily="34" charset="0"/>
              <a:cs typeface="Arial" panose="020B0604020202020204" pitchFamily="34" charset="0"/>
            </a:rPr>
            <a:t>Notificar</a:t>
          </a:r>
          <a:r>
            <a:rPr lang="pt-BR" sz="1300" baseline="0">
              <a:latin typeface="Arial" panose="020B0604020202020204" pitchFamily="34" charset="0"/>
              <a:cs typeface="Arial" panose="020B0604020202020204" pitchFamily="34" charset="0"/>
            </a:rPr>
            <a:t> comprador</a:t>
          </a:r>
          <a:endParaRPr lang="pt-BR" sz="13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485776</xdr:colOff>
      <xdr:row>53</xdr:row>
      <xdr:rowOff>176894</xdr:rowOff>
    </xdr:from>
    <xdr:to>
      <xdr:col>1</xdr:col>
      <xdr:colOff>1819276</xdr:colOff>
      <xdr:row>58</xdr:row>
      <xdr:rowOff>176894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>
          <a:off x="1098097" y="12314465"/>
          <a:ext cx="1333500" cy="1088572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300">
              <a:latin typeface="Arial" panose="020B0604020202020204" pitchFamily="34" charset="0"/>
              <a:cs typeface="Arial" panose="020B0604020202020204" pitchFamily="34" charset="0"/>
            </a:rPr>
            <a:t>Abrir</a:t>
          </a:r>
          <a:r>
            <a:rPr lang="pt-BR" sz="1300" baseline="0">
              <a:latin typeface="Arial" panose="020B0604020202020204" pitchFamily="34" charset="0"/>
              <a:cs typeface="Arial" panose="020B0604020202020204" pitchFamily="34" charset="0"/>
            </a:rPr>
            <a:t> notificação de RNC</a:t>
          </a:r>
          <a:endParaRPr lang="pt-BR" sz="13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1156608</xdr:colOff>
      <xdr:row>42</xdr:row>
      <xdr:rowOff>70037</xdr:rowOff>
    </xdr:from>
    <xdr:to>
      <xdr:col>1</xdr:col>
      <xdr:colOff>1160370</xdr:colOff>
      <xdr:row>44</xdr:row>
      <xdr:rowOff>190500</xdr:rowOff>
    </xdr:to>
    <xdr:cxnSp macro="">
      <xdr:nvCxnSpPr>
        <xdr:cNvPr id="16" name="Conexão reta unidirecional 17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CxnSpPr/>
      </xdr:nvCxnSpPr>
      <xdr:spPr>
        <a:xfrm flipH="1">
          <a:off x="1768929" y="9812751"/>
          <a:ext cx="3762" cy="555892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1183822</xdr:colOff>
      <xdr:row>49</xdr:row>
      <xdr:rowOff>176893</xdr:rowOff>
    </xdr:from>
    <xdr:to>
      <xdr:col>1</xdr:col>
      <xdr:colOff>1197429</xdr:colOff>
      <xdr:row>53</xdr:row>
      <xdr:rowOff>27215</xdr:rowOff>
    </xdr:to>
    <xdr:cxnSp macro="">
      <xdr:nvCxnSpPr>
        <xdr:cNvPr id="17" name="Conexão reta unidirecional 17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1796143" y="11443607"/>
          <a:ext cx="13607" cy="72117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816588</xdr:colOff>
      <xdr:row>63</xdr:row>
      <xdr:rowOff>172731</xdr:rowOff>
    </xdr:from>
    <xdr:to>
      <xdr:col>3</xdr:col>
      <xdr:colOff>3091702</xdr:colOff>
      <xdr:row>67</xdr:row>
      <xdr:rowOff>95251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>
        <a:xfrm>
          <a:off x="7007838" y="13657410"/>
          <a:ext cx="2275114" cy="73894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300">
              <a:latin typeface="Arial" panose="020B0604020202020204" pitchFamily="34" charset="0"/>
              <a:cs typeface="Arial" panose="020B0604020202020204" pitchFamily="34" charset="0"/>
            </a:rPr>
            <a:t>Realizar entrada</a:t>
          </a:r>
          <a:r>
            <a:rPr lang="pt-BR" sz="1300" baseline="0">
              <a:latin typeface="Arial" panose="020B0604020202020204" pitchFamily="34" charset="0"/>
              <a:cs typeface="Arial" panose="020B0604020202020204" pitchFamily="34" charset="0"/>
            </a:rPr>
            <a:t> Fiscal do Material</a:t>
          </a:r>
          <a:endParaRPr lang="pt-BR" sz="13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121587</xdr:colOff>
      <xdr:row>67</xdr:row>
      <xdr:rowOff>217714</xdr:rowOff>
    </xdr:from>
    <xdr:to>
      <xdr:col>3</xdr:col>
      <xdr:colOff>857250</xdr:colOff>
      <xdr:row>69</xdr:row>
      <xdr:rowOff>49306</xdr:rowOff>
    </xdr:to>
    <xdr:cxnSp macro="">
      <xdr:nvCxnSpPr>
        <xdr:cNvPr id="20" name="Conexão reta unidirecional 2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CxnSpPr/>
      </xdr:nvCxnSpPr>
      <xdr:spPr>
        <a:xfrm flipH="1">
          <a:off x="6312837" y="14518821"/>
          <a:ext cx="735663" cy="403092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224520</xdr:colOff>
      <xdr:row>67</xdr:row>
      <xdr:rowOff>163285</xdr:rowOff>
    </xdr:from>
    <xdr:to>
      <xdr:col>2</xdr:col>
      <xdr:colOff>2857502</xdr:colOff>
      <xdr:row>73</xdr:row>
      <xdr:rowOff>176893</xdr:rowOff>
    </xdr:to>
    <xdr:sp macro="" textlink="">
      <xdr:nvSpPr>
        <xdr:cNvPr id="21" name="Fluxograma: decisão 22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/>
      </xdr:nvSpPr>
      <xdr:spPr>
        <a:xfrm>
          <a:off x="3313341" y="14464392"/>
          <a:ext cx="2632982" cy="1401537"/>
        </a:xfrm>
        <a:prstGeom prst="flowChartDecisi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>
              <a:latin typeface="Arial" panose="020B0604020202020204" pitchFamily="34" charset="0"/>
              <a:cs typeface="Arial" panose="020B0604020202020204" pitchFamily="34" charset="0"/>
            </a:rPr>
            <a:t>Quantidade</a:t>
          </a:r>
          <a:r>
            <a:rPr lang="pt-BR" sz="1300" baseline="0">
              <a:latin typeface="Arial" panose="020B0604020202020204" pitchFamily="34" charset="0"/>
              <a:cs typeface="Arial" panose="020B0604020202020204" pitchFamily="34" charset="0"/>
            </a:rPr>
            <a:t> igual a do pedido?</a:t>
          </a:r>
          <a:endParaRPr lang="pt-BR" sz="13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866776</xdr:colOff>
      <xdr:row>70</xdr:row>
      <xdr:rowOff>38101</xdr:rowOff>
    </xdr:from>
    <xdr:to>
      <xdr:col>1</xdr:col>
      <xdr:colOff>1476376</xdr:colOff>
      <xdr:row>71</xdr:row>
      <xdr:rowOff>152401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>
        <a:xfrm>
          <a:off x="1479097" y="13481958"/>
          <a:ext cx="609600" cy="3048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Arial" panose="020B0604020202020204" pitchFamily="34" charset="0"/>
              <a:cs typeface="Arial" panose="020B0604020202020204" pitchFamily="34" charset="0"/>
            </a:rPr>
            <a:t>Não</a:t>
          </a:r>
        </a:p>
        <a:p>
          <a:pPr algn="ctr"/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503465</xdr:colOff>
      <xdr:row>77</xdr:row>
      <xdr:rowOff>95251</xdr:rowOff>
    </xdr:from>
    <xdr:to>
      <xdr:col>1</xdr:col>
      <xdr:colOff>1986643</xdr:colOff>
      <xdr:row>81</xdr:row>
      <xdr:rowOff>27214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>
        <a:xfrm>
          <a:off x="1115786" y="16600715"/>
          <a:ext cx="1483178" cy="748392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300">
              <a:latin typeface="Arial" panose="020B0604020202020204" pitchFamily="34" charset="0"/>
              <a:cs typeface="Arial" panose="020B0604020202020204" pitchFamily="34" charset="0"/>
            </a:rPr>
            <a:t>Ajustar</a:t>
          </a:r>
          <a:r>
            <a:rPr lang="pt-BR" sz="1300" baseline="0">
              <a:latin typeface="Arial" panose="020B0604020202020204" pitchFamily="34" charset="0"/>
              <a:cs typeface="Arial" panose="020B0604020202020204" pitchFamily="34" charset="0"/>
            </a:rPr>
            <a:t> Pedido</a:t>
          </a:r>
          <a:endParaRPr lang="pt-BR" sz="13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1714500</xdr:colOff>
      <xdr:row>71</xdr:row>
      <xdr:rowOff>27213</xdr:rowOff>
    </xdr:from>
    <xdr:to>
      <xdr:col>1</xdr:col>
      <xdr:colOff>2326822</xdr:colOff>
      <xdr:row>71</xdr:row>
      <xdr:rowOff>27214</xdr:rowOff>
    </xdr:to>
    <xdr:cxnSp macro="">
      <xdr:nvCxnSpPr>
        <xdr:cNvPr id="24" name="Conexão reta unidirecional 29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 flipH="1">
          <a:off x="2326821" y="13661570"/>
          <a:ext cx="612322" cy="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2098222</xdr:colOff>
      <xdr:row>73</xdr:row>
      <xdr:rowOff>13607</xdr:rowOff>
    </xdr:from>
    <xdr:to>
      <xdr:col>2</xdr:col>
      <xdr:colOff>3046640</xdr:colOff>
      <xdr:row>74</xdr:row>
      <xdr:rowOff>156482</xdr:rowOff>
    </xdr:to>
    <xdr:sp macro="" textlink="">
      <xdr:nvSpPr>
        <xdr:cNvPr id="25" name="Retângulo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>
        <a:xfrm>
          <a:off x="5187043" y="14028964"/>
          <a:ext cx="948418" cy="333375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Arial" panose="020B0604020202020204" pitchFamily="34" charset="0"/>
              <a:cs typeface="Arial" panose="020B0604020202020204" pitchFamily="34" charset="0"/>
            </a:rPr>
            <a:t>Sim</a:t>
          </a:r>
        </a:p>
      </xdr:txBody>
    </xdr:sp>
    <xdr:clientData/>
  </xdr:twoCellAnchor>
  <xdr:twoCellAnchor>
    <xdr:from>
      <xdr:col>2</xdr:col>
      <xdr:colOff>1592036</xdr:colOff>
      <xdr:row>75</xdr:row>
      <xdr:rowOff>136072</xdr:rowOff>
    </xdr:from>
    <xdr:to>
      <xdr:col>2</xdr:col>
      <xdr:colOff>2435680</xdr:colOff>
      <xdr:row>86</xdr:row>
      <xdr:rowOff>95250</xdr:rowOff>
    </xdr:to>
    <xdr:cxnSp macro="">
      <xdr:nvCxnSpPr>
        <xdr:cNvPr id="26" name="Conexão reta unidirecional 29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CxnSpPr/>
      </xdr:nvCxnSpPr>
      <xdr:spPr>
        <a:xfrm flipH="1">
          <a:off x="4680857" y="15389679"/>
          <a:ext cx="843644" cy="219075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790574</xdr:colOff>
      <xdr:row>87</xdr:row>
      <xdr:rowOff>0</xdr:rowOff>
    </xdr:from>
    <xdr:to>
      <xdr:col>2</xdr:col>
      <xdr:colOff>2381249</xdr:colOff>
      <xdr:row>90</xdr:row>
      <xdr:rowOff>68035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/>
      </xdr:nvSpPr>
      <xdr:spPr>
        <a:xfrm>
          <a:off x="3879395" y="18532929"/>
          <a:ext cx="1590675" cy="68035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300">
              <a:latin typeface="Arial" panose="020B0604020202020204" pitchFamily="34" charset="0"/>
              <a:cs typeface="Arial" panose="020B0604020202020204" pitchFamily="34" charset="0"/>
            </a:rPr>
            <a:t>Armazenar materiais</a:t>
          </a:r>
          <a:r>
            <a:rPr lang="pt-BR" sz="1300" baseline="0">
              <a:latin typeface="Arial" panose="020B0604020202020204" pitchFamily="34" charset="0"/>
              <a:cs typeface="Arial" panose="020B0604020202020204" pitchFamily="34" charset="0"/>
            </a:rPr>
            <a:t> conforme FIFO</a:t>
          </a:r>
          <a:endParaRPr lang="pt-BR" sz="1300"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2476500</xdr:colOff>
      <xdr:row>88</xdr:row>
      <xdr:rowOff>40821</xdr:rowOff>
    </xdr:from>
    <xdr:to>
      <xdr:col>3</xdr:col>
      <xdr:colOff>952500</xdr:colOff>
      <xdr:row>88</xdr:row>
      <xdr:rowOff>54428</xdr:rowOff>
    </xdr:to>
    <xdr:cxnSp macro="">
      <xdr:nvCxnSpPr>
        <xdr:cNvPr id="28" name="Conexão reta unidirecional 34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CxnSpPr/>
      </xdr:nvCxnSpPr>
      <xdr:spPr>
        <a:xfrm flipV="1">
          <a:off x="5565321" y="18777857"/>
          <a:ext cx="1578429" cy="1360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1083128</xdr:colOff>
      <xdr:row>86</xdr:row>
      <xdr:rowOff>148318</xdr:rowOff>
    </xdr:from>
    <xdr:to>
      <xdr:col>3</xdr:col>
      <xdr:colOff>2676424</xdr:colOff>
      <xdr:row>90</xdr:row>
      <xdr:rowOff>26963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/>
      </xdr:nvSpPr>
      <xdr:spPr>
        <a:xfrm>
          <a:off x="7274378" y="18477139"/>
          <a:ext cx="1593296" cy="69507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300">
              <a:latin typeface="Arial" panose="020B0604020202020204" pitchFamily="34" charset="0"/>
              <a:cs typeface="Arial" panose="020B0604020202020204" pitchFamily="34" charset="0"/>
            </a:rPr>
            <a:t>Realizar</a:t>
          </a:r>
          <a:r>
            <a:rPr lang="pt-BR" sz="1300" baseline="0">
              <a:latin typeface="Arial" panose="020B0604020202020204" pitchFamily="34" charset="0"/>
              <a:cs typeface="Arial" panose="020B0604020202020204" pitchFamily="34" charset="0"/>
            </a:rPr>
            <a:t> limpeza do local onde será armazenado</a:t>
          </a:r>
        </a:p>
        <a:p>
          <a:pPr algn="ctr"/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699407</xdr:colOff>
      <xdr:row>95</xdr:row>
      <xdr:rowOff>50344</xdr:rowOff>
    </xdr:from>
    <xdr:to>
      <xdr:col>2</xdr:col>
      <xdr:colOff>2394857</xdr:colOff>
      <xdr:row>100</xdr:row>
      <xdr:rowOff>40820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/>
      </xdr:nvSpPr>
      <xdr:spPr>
        <a:xfrm>
          <a:off x="3788228" y="20869273"/>
          <a:ext cx="1695450" cy="1079047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300">
              <a:latin typeface="Arial" panose="020B0604020202020204" pitchFamily="34" charset="0"/>
              <a:cs typeface="Arial" panose="020B0604020202020204" pitchFamily="34" charset="0"/>
            </a:rPr>
            <a:t>Realizar</a:t>
          </a:r>
          <a:r>
            <a:rPr lang="pt-BR" sz="1300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  <a:p>
          <a:pPr algn="ctr"/>
          <a:r>
            <a:rPr lang="pt-BR" sz="1300" baseline="0">
              <a:latin typeface="Arial" panose="020B0604020202020204" pitchFamily="34" charset="0"/>
              <a:cs typeface="Arial" panose="020B0604020202020204" pitchFamily="34" charset="0"/>
            </a:rPr>
            <a:t>contagens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1551215</xdr:colOff>
      <xdr:row>90</xdr:row>
      <xdr:rowOff>136072</xdr:rowOff>
    </xdr:from>
    <xdr:to>
      <xdr:col>2</xdr:col>
      <xdr:colOff>1551216</xdr:colOff>
      <xdr:row>94</xdr:row>
      <xdr:rowOff>108857</xdr:rowOff>
    </xdr:to>
    <xdr:cxnSp macro="">
      <xdr:nvCxnSpPr>
        <xdr:cNvPr id="37" name="Conexão reta unidirecional 29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CxnSpPr/>
      </xdr:nvCxnSpPr>
      <xdr:spPr>
        <a:xfrm flipH="1">
          <a:off x="4640036" y="17389929"/>
          <a:ext cx="1" cy="734785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160565</xdr:colOff>
      <xdr:row>104</xdr:row>
      <xdr:rowOff>81643</xdr:rowOff>
    </xdr:from>
    <xdr:to>
      <xdr:col>2</xdr:col>
      <xdr:colOff>2967719</xdr:colOff>
      <xdr:row>109</xdr:row>
      <xdr:rowOff>77562</xdr:rowOff>
    </xdr:to>
    <xdr:sp macro="" textlink="">
      <xdr:nvSpPr>
        <xdr:cNvPr id="38" name="Fluxograma: decisão 30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/>
      </xdr:nvSpPr>
      <xdr:spPr>
        <a:xfrm>
          <a:off x="3249386" y="22805572"/>
          <a:ext cx="2807154" cy="1016454"/>
        </a:xfrm>
        <a:prstGeom prst="flowChartDecisi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>
              <a:latin typeface="Arial" panose="020B0604020202020204" pitchFamily="34" charset="0"/>
              <a:cs typeface="Arial" panose="020B0604020202020204" pitchFamily="34" charset="0"/>
            </a:rPr>
            <a:t>Contagem ok</a:t>
          </a:r>
          <a:r>
            <a:rPr lang="pt-BR" sz="1300" baseline="0">
              <a:latin typeface="Arial" panose="020B0604020202020204" pitchFamily="34" charset="0"/>
              <a:cs typeface="Arial" panose="020B0604020202020204" pitchFamily="34" charset="0"/>
            </a:rPr>
            <a:t>?</a:t>
          </a:r>
          <a:endParaRPr lang="pt-BR" sz="13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1551216</xdr:colOff>
      <xdr:row>101</xdr:row>
      <xdr:rowOff>13608</xdr:rowOff>
    </xdr:from>
    <xdr:to>
      <xdr:col>2</xdr:col>
      <xdr:colOff>1564822</xdr:colOff>
      <xdr:row>103</xdr:row>
      <xdr:rowOff>1</xdr:rowOff>
    </xdr:to>
    <xdr:cxnSp macro="">
      <xdr:nvCxnSpPr>
        <xdr:cNvPr id="39" name="Conexão reta unidirecional 29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 flipH="1">
          <a:off x="4640037" y="22125215"/>
          <a:ext cx="13606" cy="39460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1232808</xdr:colOff>
      <xdr:row>109</xdr:row>
      <xdr:rowOff>170088</xdr:rowOff>
    </xdr:from>
    <xdr:to>
      <xdr:col>2</xdr:col>
      <xdr:colOff>1861458</xdr:colOff>
      <xdr:row>111</xdr:row>
      <xdr:rowOff>151038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/>
      </xdr:nvSpPr>
      <xdr:spPr>
        <a:xfrm>
          <a:off x="4321629" y="23914552"/>
          <a:ext cx="628650" cy="389165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Sim</a:t>
          </a:r>
        </a:p>
      </xdr:txBody>
    </xdr:sp>
    <xdr:clientData/>
  </xdr:twoCellAnchor>
  <xdr:twoCellAnchor>
    <xdr:from>
      <xdr:col>3</xdr:col>
      <xdr:colOff>95252</xdr:colOff>
      <xdr:row>105</xdr:row>
      <xdr:rowOff>142872</xdr:rowOff>
    </xdr:from>
    <xdr:to>
      <xdr:col>3</xdr:col>
      <xdr:colOff>723902</xdr:colOff>
      <xdr:row>107</xdr:row>
      <xdr:rowOff>133348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/>
      </xdr:nvSpPr>
      <xdr:spPr>
        <a:xfrm>
          <a:off x="6286502" y="23070908"/>
          <a:ext cx="628650" cy="39869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Não</a:t>
          </a:r>
        </a:p>
        <a:p>
          <a:pPr algn="ctr"/>
          <a:endParaRPr lang="pt-BR" sz="1100" b="1"/>
        </a:p>
      </xdr:txBody>
    </xdr:sp>
    <xdr:clientData/>
  </xdr:twoCellAnchor>
  <xdr:twoCellAnchor>
    <xdr:from>
      <xdr:col>3</xdr:col>
      <xdr:colOff>2273754</xdr:colOff>
      <xdr:row>105</xdr:row>
      <xdr:rowOff>5443</xdr:rowOff>
    </xdr:from>
    <xdr:to>
      <xdr:col>3</xdr:col>
      <xdr:colOff>3867050</xdr:colOff>
      <xdr:row>108</xdr:row>
      <xdr:rowOff>74589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/>
      </xdr:nvSpPr>
      <xdr:spPr>
        <a:xfrm>
          <a:off x="8465004" y="22933479"/>
          <a:ext cx="1593296" cy="681467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300" baseline="0">
              <a:latin typeface="Arial" panose="020B0604020202020204" pitchFamily="34" charset="0"/>
              <a:cs typeface="Arial" panose="020B0604020202020204" pitchFamily="34" charset="0"/>
            </a:rPr>
            <a:t>Verificar e corrigir apontamentos</a:t>
          </a:r>
          <a:endParaRPr lang="pt-BR" sz="13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1208315</xdr:colOff>
      <xdr:row>106</xdr:row>
      <xdr:rowOff>122465</xdr:rowOff>
    </xdr:from>
    <xdr:to>
      <xdr:col>3</xdr:col>
      <xdr:colOff>1973036</xdr:colOff>
      <xdr:row>106</xdr:row>
      <xdr:rowOff>136072</xdr:rowOff>
    </xdr:to>
    <xdr:cxnSp macro="">
      <xdr:nvCxnSpPr>
        <xdr:cNvPr id="43" name="Conexão reta unidirecional 34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CxnSpPr/>
      </xdr:nvCxnSpPr>
      <xdr:spPr>
        <a:xfrm flipV="1">
          <a:off x="7399565" y="23254608"/>
          <a:ext cx="764721" cy="1360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167367</xdr:colOff>
      <xdr:row>114</xdr:row>
      <xdr:rowOff>95249</xdr:rowOff>
    </xdr:from>
    <xdr:to>
      <xdr:col>2</xdr:col>
      <xdr:colOff>2911928</xdr:colOff>
      <xdr:row>122</xdr:row>
      <xdr:rowOff>66674</xdr:rowOff>
    </xdr:to>
    <xdr:sp macro="" textlink="">
      <xdr:nvSpPr>
        <xdr:cNvPr id="45" name="Fluxograma: decisão 36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/>
      </xdr:nvSpPr>
      <xdr:spPr>
        <a:xfrm>
          <a:off x="3256188" y="24479249"/>
          <a:ext cx="2744561" cy="1590675"/>
        </a:xfrm>
        <a:prstGeom prst="flowChartDecisi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>
              <a:latin typeface="Arial" panose="020B0604020202020204" pitchFamily="34" charset="0"/>
              <a:cs typeface="Arial" panose="020B0604020202020204" pitchFamily="34" charset="0"/>
            </a:rPr>
            <a:t>Necessidade de abastecimento  ensaque?</a:t>
          </a:r>
        </a:p>
      </xdr:txBody>
    </xdr:sp>
    <xdr:clientData/>
  </xdr:twoCellAnchor>
  <xdr:twoCellAnchor>
    <xdr:from>
      <xdr:col>2</xdr:col>
      <xdr:colOff>1242332</xdr:colOff>
      <xdr:row>126</xdr:row>
      <xdr:rowOff>17688</xdr:rowOff>
    </xdr:from>
    <xdr:to>
      <xdr:col>2</xdr:col>
      <xdr:colOff>1823357</xdr:colOff>
      <xdr:row>127</xdr:row>
      <xdr:rowOff>136070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/>
      </xdr:nvSpPr>
      <xdr:spPr>
        <a:xfrm>
          <a:off x="4331153" y="26837367"/>
          <a:ext cx="581025" cy="322489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Sim</a:t>
          </a:r>
        </a:p>
      </xdr:txBody>
    </xdr:sp>
    <xdr:clientData/>
  </xdr:twoCellAnchor>
  <xdr:twoCellAnchor>
    <xdr:from>
      <xdr:col>3</xdr:col>
      <xdr:colOff>1054553</xdr:colOff>
      <xdr:row>118</xdr:row>
      <xdr:rowOff>77561</xdr:rowOff>
    </xdr:from>
    <xdr:to>
      <xdr:col>3</xdr:col>
      <xdr:colOff>1749878</xdr:colOff>
      <xdr:row>120</xdr:row>
      <xdr:rowOff>58511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/>
      </xdr:nvSpPr>
      <xdr:spPr>
        <a:xfrm>
          <a:off x="6538232" y="22719847"/>
          <a:ext cx="695325" cy="3619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Não</a:t>
          </a:r>
        </a:p>
        <a:p>
          <a:pPr algn="ctr"/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616405</xdr:colOff>
      <xdr:row>131</xdr:row>
      <xdr:rowOff>161925</xdr:rowOff>
    </xdr:from>
    <xdr:to>
      <xdr:col>2</xdr:col>
      <xdr:colOff>2381251</xdr:colOff>
      <xdr:row>135</xdr:row>
      <xdr:rowOff>81643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SpPr/>
      </xdr:nvSpPr>
      <xdr:spPr>
        <a:xfrm>
          <a:off x="3351441" y="25280711"/>
          <a:ext cx="1764846" cy="68171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300" baseline="0">
              <a:latin typeface="Arial" panose="020B0604020202020204" pitchFamily="34" charset="0"/>
              <a:cs typeface="Arial" panose="020B0604020202020204" pitchFamily="34" charset="0"/>
            </a:rPr>
            <a:t>Realizar a tranferência contábil e física</a:t>
          </a:r>
          <a:endParaRPr lang="pt-BR" sz="1300"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endParaRPr lang="pt-BR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1504949</xdr:colOff>
      <xdr:row>127</xdr:row>
      <xdr:rowOff>176892</xdr:rowOff>
    </xdr:from>
    <xdr:to>
      <xdr:col>2</xdr:col>
      <xdr:colOff>1509713</xdr:colOff>
      <xdr:row>131</xdr:row>
      <xdr:rowOff>53067</xdr:rowOff>
    </xdr:to>
    <xdr:cxnSp macro="">
      <xdr:nvCxnSpPr>
        <xdr:cNvPr id="49" name="Conexão reta unidirecional 29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CxnSpPr/>
      </xdr:nvCxnSpPr>
      <xdr:spPr>
        <a:xfrm flipH="1">
          <a:off x="4239985" y="24533678"/>
          <a:ext cx="4764" cy="638175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1537608</xdr:colOff>
      <xdr:row>112</xdr:row>
      <xdr:rowOff>0</xdr:rowOff>
    </xdr:from>
    <xdr:to>
      <xdr:col>2</xdr:col>
      <xdr:colOff>1537609</xdr:colOff>
      <xdr:row>113</xdr:row>
      <xdr:rowOff>163286</xdr:rowOff>
    </xdr:to>
    <xdr:cxnSp macro="">
      <xdr:nvCxnSpPr>
        <xdr:cNvPr id="51" name="Conexão reta unidirecional 29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CxnSpPr/>
      </xdr:nvCxnSpPr>
      <xdr:spPr>
        <a:xfrm>
          <a:off x="4626429" y="24356786"/>
          <a:ext cx="1" cy="367393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1523322</xdr:colOff>
      <xdr:row>122</xdr:row>
      <xdr:rowOff>149679</xdr:rowOff>
    </xdr:from>
    <xdr:to>
      <xdr:col>2</xdr:col>
      <xdr:colOff>1524000</xdr:colOff>
      <xdr:row>125</xdr:row>
      <xdr:rowOff>122464</xdr:rowOff>
    </xdr:to>
    <xdr:cxnSp macro="">
      <xdr:nvCxnSpPr>
        <xdr:cNvPr id="53" name="Conexão reta unidirecional 29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CxnSpPr/>
      </xdr:nvCxnSpPr>
      <xdr:spPr>
        <a:xfrm>
          <a:off x="4258358" y="23553965"/>
          <a:ext cx="678" cy="544285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561975</xdr:colOff>
      <xdr:row>1</xdr:row>
      <xdr:rowOff>38100</xdr:rowOff>
    </xdr:from>
    <xdr:to>
      <xdr:col>1</xdr:col>
      <xdr:colOff>1998842</xdr:colOff>
      <xdr:row>4</xdr:row>
      <xdr:rowOff>353785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4296" y="242207"/>
          <a:ext cx="1436867" cy="846364"/>
        </a:xfrm>
        <a:prstGeom prst="rect">
          <a:avLst/>
        </a:prstGeom>
      </xdr:spPr>
    </xdr:pic>
    <xdr:clientData/>
  </xdr:twoCellAnchor>
  <xdr:twoCellAnchor>
    <xdr:from>
      <xdr:col>1</xdr:col>
      <xdr:colOff>2061883</xdr:colOff>
      <xdr:row>37</xdr:row>
      <xdr:rowOff>54428</xdr:rowOff>
    </xdr:from>
    <xdr:to>
      <xdr:col>2</xdr:col>
      <xdr:colOff>408215</xdr:colOff>
      <xdr:row>39</xdr:row>
      <xdr:rowOff>123265</xdr:rowOff>
    </xdr:to>
    <xdr:cxnSp macro="">
      <xdr:nvCxnSpPr>
        <xdr:cNvPr id="59" name="Conexão reta unidirecional 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CxnSpPr/>
      </xdr:nvCxnSpPr>
      <xdr:spPr>
        <a:xfrm flipH="1">
          <a:off x="2674204" y="8708571"/>
          <a:ext cx="822832" cy="504265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2639786</xdr:colOff>
      <xdr:row>37</xdr:row>
      <xdr:rowOff>163286</xdr:rowOff>
    </xdr:from>
    <xdr:to>
      <xdr:col>3</xdr:col>
      <xdr:colOff>1932214</xdr:colOff>
      <xdr:row>63</xdr:row>
      <xdr:rowOff>54428</xdr:rowOff>
    </xdr:to>
    <xdr:cxnSp macro="">
      <xdr:nvCxnSpPr>
        <xdr:cNvPr id="62" name="Conexão reta unidirecional 8">
          <a:extLs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CxnSpPr/>
      </xdr:nvCxnSpPr>
      <xdr:spPr>
        <a:xfrm>
          <a:off x="5728607" y="8817429"/>
          <a:ext cx="2394857" cy="5129892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336096</xdr:colOff>
      <xdr:row>119</xdr:row>
      <xdr:rowOff>29936</xdr:rowOff>
    </xdr:from>
    <xdr:to>
      <xdr:col>3</xdr:col>
      <xdr:colOff>736146</xdr:colOff>
      <xdr:row>119</xdr:row>
      <xdr:rowOff>29936</xdr:rowOff>
    </xdr:to>
    <xdr:cxnSp macro="">
      <xdr:nvCxnSpPr>
        <xdr:cNvPr id="72" name="Conexão reta unidirecional 34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CxnSpPr/>
      </xdr:nvCxnSpPr>
      <xdr:spPr>
        <a:xfrm>
          <a:off x="5819775" y="22862722"/>
          <a:ext cx="400050" cy="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1143000</xdr:colOff>
      <xdr:row>72</xdr:row>
      <xdr:rowOff>108857</xdr:rowOff>
    </xdr:from>
    <xdr:to>
      <xdr:col>1</xdr:col>
      <xdr:colOff>1143000</xdr:colOff>
      <xdr:row>76</xdr:row>
      <xdr:rowOff>108857</xdr:rowOff>
    </xdr:to>
    <xdr:cxnSp macro="">
      <xdr:nvCxnSpPr>
        <xdr:cNvPr id="87" name="Conexão reta unidirecional 29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CxnSpPr/>
      </xdr:nvCxnSpPr>
      <xdr:spPr>
        <a:xfrm>
          <a:off x="1755321" y="16056428"/>
          <a:ext cx="0" cy="870858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2993572</xdr:colOff>
      <xdr:row>88</xdr:row>
      <xdr:rowOff>40821</xdr:rowOff>
    </xdr:from>
    <xdr:to>
      <xdr:col>3</xdr:col>
      <xdr:colOff>3864429</xdr:colOff>
      <xdr:row>88</xdr:row>
      <xdr:rowOff>40821</xdr:rowOff>
    </xdr:to>
    <xdr:cxnSp macro="">
      <xdr:nvCxnSpPr>
        <xdr:cNvPr id="50" name="Conexão reta unidirecional 34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CxnSpPr/>
      </xdr:nvCxnSpPr>
      <xdr:spPr>
        <a:xfrm>
          <a:off x="9184822" y="18777857"/>
          <a:ext cx="870857" cy="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3265714</xdr:colOff>
      <xdr:row>65</xdr:row>
      <xdr:rowOff>122465</xdr:rowOff>
    </xdr:from>
    <xdr:to>
      <xdr:col>3</xdr:col>
      <xdr:colOff>3884840</xdr:colOff>
      <xdr:row>65</xdr:row>
      <xdr:rowOff>129268</xdr:rowOff>
    </xdr:to>
    <xdr:cxnSp macro="">
      <xdr:nvCxnSpPr>
        <xdr:cNvPr id="52" name="Conexão reta unidirecional 34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CxnSpPr/>
      </xdr:nvCxnSpPr>
      <xdr:spPr>
        <a:xfrm>
          <a:off x="9456964" y="14015358"/>
          <a:ext cx="619126" cy="6803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2585358</xdr:colOff>
      <xdr:row>24</xdr:row>
      <xdr:rowOff>136071</xdr:rowOff>
    </xdr:from>
    <xdr:to>
      <xdr:col>3</xdr:col>
      <xdr:colOff>3687536</xdr:colOff>
      <xdr:row>24</xdr:row>
      <xdr:rowOff>136072</xdr:rowOff>
    </xdr:to>
    <xdr:cxnSp macro="">
      <xdr:nvCxnSpPr>
        <xdr:cNvPr id="54" name="Conexão reta unidirecional 34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CxnSpPr/>
      </xdr:nvCxnSpPr>
      <xdr:spPr>
        <a:xfrm>
          <a:off x="5674179" y="6027964"/>
          <a:ext cx="4204607" cy="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2585358</xdr:colOff>
      <xdr:row>17</xdr:row>
      <xdr:rowOff>54429</xdr:rowOff>
    </xdr:from>
    <xdr:to>
      <xdr:col>3</xdr:col>
      <xdr:colOff>3646714</xdr:colOff>
      <xdr:row>17</xdr:row>
      <xdr:rowOff>54429</xdr:rowOff>
    </xdr:to>
    <xdr:cxnSp macro="">
      <xdr:nvCxnSpPr>
        <xdr:cNvPr id="55" name="Conexão reta unidirecional 3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CxnSpPr/>
      </xdr:nvCxnSpPr>
      <xdr:spPr>
        <a:xfrm>
          <a:off x="5674179" y="4531179"/>
          <a:ext cx="4163785" cy="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2326821</xdr:colOff>
      <xdr:row>119</xdr:row>
      <xdr:rowOff>40821</xdr:rowOff>
    </xdr:from>
    <xdr:to>
      <xdr:col>3</xdr:col>
      <xdr:colOff>3197678</xdr:colOff>
      <xdr:row>119</xdr:row>
      <xdr:rowOff>40821</xdr:rowOff>
    </xdr:to>
    <xdr:cxnSp macro="">
      <xdr:nvCxnSpPr>
        <xdr:cNvPr id="57" name="Conexão reta unidirecional 34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CxnSpPr/>
      </xdr:nvCxnSpPr>
      <xdr:spPr>
        <a:xfrm>
          <a:off x="8518071" y="25091571"/>
          <a:ext cx="870857" cy="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9"/>
  <dimension ref="B2:P23"/>
  <sheetViews>
    <sheetView showGridLines="0" showRowColHeaders="0" tabSelected="1" workbookViewId="0">
      <selection activeCell="S12" sqref="S12"/>
    </sheetView>
  </sheetViews>
  <sheetFormatPr defaultRowHeight="15" x14ac:dyDescent="0.25"/>
  <sheetData>
    <row r="2" spans="2:16" x14ac:dyDescent="0.25"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</row>
    <row r="3" spans="2:16" x14ac:dyDescent="0.25"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</row>
    <row r="4" spans="2:16" x14ac:dyDescent="0.25">
      <c r="B4" s="76"/>
      <c r="C4" s="76"/>
      <c r="D4" s="76"/>
      <c r="E4" s="97" t="s">
        <v>0</v>
      </c>
      <c r="F4" s="98"/>
      <c r="G4" s="98"/>
      <c r="H4" s="98"/>
      <c r="I4" s="98"/>
      <c r="J4" s="98"/>
      <c r="K4" s="98"/>
      <c r="L4" s="76"/>
      <c r="M4" s="76"/>
      <c r="N4" s="76"/>
      <c r="O4" s="76"/>
      <c r="P4" s="76"/>
    </row>
    <row r="5" spans="2:16" x14ac:dyDescent="0.25">
      <c r="B5" s="76"/>
      <c r="C5" s="76"/>
      <c r="D5" s="76"/>
      <c r="E5" s="98"/>
      <c r="F5" s="98"/>
      <c r="G5" s="98"/>
      <c r="H5" s="98"/>
      <c r="I5" s="98"/>
      <c r="J5" s="98"/>
      <c r="K5" s="98"/>
      <c r="L5" s="76"/>
      <c r="M5" s="76"/>
      <c r="N5" s="76"/>
      <c r="O5" s="76"/>
      <c r="P5" s="76"/>
    </row>
    <row r="6" spans="2:16" x14ac:dyDescent="0.25">
      <c r="B6" s="76"/>
      <c r="C6" s="76"/>
      <c r="D6" s="76"/>
      <c r="E6" s="98"/>
      <c r="F6" s="98"/>
      <c r="G6" s="98"/>
      <c r="H6" s="98"/>
      <c r="I6" s="98"/>
      <c r="J6" s="98"/>
      <c r="K6" s="98"/>
      <c r="L6" s="76"/>
      <c r="M6" s="76"/>
      <c r="N6" s="76"/>
      <c r="O6" s="76"/>
      <c r="P6" s="76"/>
    </row>
    <row r="7" spans="2:16" x14ac:dyDescent="0.25">
      <c r="B7" s="76"/>
      <c r="C7" s="76"/>
      <c r="D7" s="76"/>
      <c r="E7" s="98"/>
      <c r="F7" s="98"/>
      <c r="G7" s="98"/>
      <c r="H7" s="98"/>
      <c r="I7" s="98"/>
      <c r="J7" s="98"/>
      <c r="K7" s="98"/>
      <c r="L7" s="76"/>
      <c r="M7" s="76"/>
      <c r="N7" s="76"/>
      <c r="O7" s="76"/>
      <c r="P7" s="76"/>
    </row>
    <row r="8" spans="2:16" x14ac:dyDescent="0.25">
      <c r="B8" s="76"/>
      <c r="C8" s="76"/>
      <c r="D8" s="76"/>
      <c r="E8" s="98"/>
      <c r="F8" s="98"/>
      <c r="G8" s="98"/>
      <c r="H8" s="98"/>
      <c r="I8" s="98"/>
      <c r="J8" s="98"/>
      <c r="K8" s="98"/>
      <c r="L8" s="76"/>
      <c r="M8" s="76"/>
      <c r="N8" s="76"/>
      <c r="O8" s="76"/>
      <c r="P8" s="76"/>
    </row>
    <row r="9" spans="2:16" x14ac:dyDescent="0.25">
      <c r="B9" s="76"/>
      <c r="C9" s="76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</row>
    <row r="10" spans="2:16" ht="15.75" x14ac:dyDescent="0.25">
      <c r="B10" s="76"/>
      <c r="C10" s="76"/>
      <c r="D10" s="79">
        <v>258</v>
      </c>
      <c r="E10" s="80" t="s">
        <v>1</v>
      </c>
      <c r="F10" s="80"/>
      <c r="G10" s="81"/>
      <c r="H10" s="76"/>
      <c r="I10" s="76"/>
      <c r="J10" s="76"/>
      <c r="K10" s="76"/>
      <c r="L10" s="76"/>
      <c r="M10" s="76"/>
      <c r="N10" s="76"/>
      <c r="O10" s="76"/>
      <c r="P10" s="76"/>
    </row>
    <row r="11" spans="2:16" ht="15.75" x14ac:dyDescent="0.25">
      <c r="B11" s="76"/>
      <c r="C11" s="76"/>
      <c r="D11" s="82">
        <v>258</v>
      </c>
      <c r="E11" s="83" t="s">
        <v>2</v>
      </c>
      <c r="F11" s="83"/>
      <c r="G11" s="84"/>
      <c r="H11" s="76"/>
      <c r="I11" s="76"/>
      <c r="J11" s="76"/>
      <c r="K11" s="76"/>
      <c r="L11" s="76"/>
      <c r="M11" s="76"/>
      <c r="N11" s="76"/>
      <c r="O11" s="76"/>
      <c r="P11" s="76"/>
    </row>
    <row r="12" spans="2:16" x14ac:dyDescent="0.25"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76"/>
    </row>
    <row r="13" spans="2:16" x14ac:dyDescent="0.25">
      <c r="B13" s="76"/>
      <c r="C13" s="76"/>
      <c r="D13" s="99" t="s">
        <v>3</v>
      </c>
      <c r="E13" s="99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</row>
    <row r="14" spans="2:16" x14ac:dyDescent="0.25">
      <c r="B14" s="76"/>
      <c r="C14" s="76"/>
      <c r="D14" s="76">
        <f>SUBTOTAL(9,Principal!G3:G172)/258</f>
        <v>0</v>
      </c>
      <c r="E14" s="76"/>
      <c r="F14" s="76"/>
      <c r="G14" s="76"/>
      <c r="H14" s="76"/>
      <c r="I14" s="76"/>
      <c r="J14" s="76"/>
      <c r="K14" s="76"/>
      <c r="L14" s="76"/>
      <c r="M14" s="76"/>
      <c r="N14" s="76"/>
      <c r="O14" s="76"/>
      <c r="P14" s="76"/>
    </row>
    <row r="15" spans="2:16" x14ac:dyDescent="0.25">
      <c r="B15" s="76"/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</row>
    <row r="16" spans="2:16" x14ac:dyDescent="0.25">
      <c r="B16" s="76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</row>
    <row r="17" spans="2:16" x14ac:dyDescent="0.25">
      <c r="B17" s="76"/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</row>
    <row r="18" spans="2:16" x14ac:dyDescent="0.25">
      <c r="B18" s="76"/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/>
    </row>
    <row r="19" spans="2:16" x14ac:dyDescent="0.25"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</row>
    <row r="20" spans="2:16" ht="21" x14ac:dyDescent="0.25">
      <c r="B20" s="76"/>
      <c r="C20" s="77"/>
      <c r="D20" s="78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76"/>
      <c r="P20" s="76"/>
    </row>
    <row r="21" spans="2:16" ht="21" x14ac:dyDescent="0.25">
      <c r="B21" s="76"/>
      <c r="C21" s="77"/>
      <c r="D21" s="78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</row>
    <row r="22" spans="2:16" x14ac:dyDescent="0.25">
      <c r="B22" s="76"/>
      <c r="C22" s="76"/>
      <c r="D22" s="76"/>
      <c r="E22" s="76"/>
      <c r="F22" s="76"/>
      <c r="G22" s="76"/>
      <c r="H22" s="76"/>
      <c r="I22" s="76"/>
      <c r="J22" s="76"/>
      <c r="K22" s="76"/>
      <c r="L22" s="76"/>
      <c r="M22" s="76"/>
      <c r="N22" s="76"/>
      <c r="O22" s="76"/>
      <c r="P22" s="76"/>
    </row>
    <row r="23" spans="2:16" x14ac:dyDescent="0.25">
      <c r="B23" s="76"/>
      <c r="C23" s="76"/>
      <c r="D23" s="76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85"/>
      <c r="P23" s="76"/>
    </row>
  </sheetData>
  <mergeCells count="2">
    <mergeCell ref="E4:K8"/>
    <mergeCell ref="D13:E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EstaPasta_de_trabalho.abrir_form">
                <anchor moveWithCells="1" sizeWithCells="1">
                  <from>
                    <xdr:col>11</xdr:col>
                    <xdr:colOff>95250</xdr:colOff>
                    <xdr:row>2</xdr:row>
                    <xdr:rowOff>171450</xdr:rowOff>
                  </from>
                  <to>
                    <xdr:col>13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alvarPlanilha_Clique">
                <anchor moveWithCells="1" sizeWithCells="1">
                  <from>
                    <xdr:col>13</xdr:col>
                    <xdr:colOff>200025</xdr:colOff>
                    <xdr:row>2</xdr:row>
                    <xdr:rowOff>161925</xdr:rowOff>
                  </from>
                  <to>
                    <xdr:col>15</xdr:col>
                    <xdr:colOff>209550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3567C-34C2-4CED-A30C-0502EE749885}">
  <sheetPr codeName="Planilha1"/>
  <dimension ref="A1:F115"/>
  <sheetViews>
    <sheetView workbookViewId="0">
      <selection activeCell="E23" sqref="E23"/>
    </sheetView>
  </sheetViews>
  <sheetFormatPr defaultRowHeight="15" x14ac:dyDescent="0.25"/>
  <cols>
    <col min="1" max="1" width="10.7109375" bestFit="1" customWidth="1"/>
    <col min="3" max="3" width="11.5703125" customWidth="1"/>
    <col min="5" max="5" width="73.42578125" customWidth="1"/>
    <col min="6" max="6" width="27.5703125" customWidth="1"/>
  </cols>
  <sheetData>
    <row r="1" spans="1:6" x14ac:dyDescent="0.25">
      <c r="A1" t="s">
        <v>4</v>
      </c>
      <c r="C1" s="74" t="s">
        <v>5</v>
      </c>
      <c r="E1" s="1" t="s">
        <v>6</v>
      </c>
      <c r="F1" s="1">
        <v>10000281</v>
      </c>
    </row>
    <row r="2" spans="1:6" ht="15.75" x14ac:dyDescent="0.25">
      <c r="A2" t="s">
        <v>7</v>
      </c>
      <c r="C2" s="40" t="s">
        <v>8</v>
      </c>
      <c r="E2" s="1" t="s">
        <v>9</v>
      </c>
      <c r="F2" s="1">
        <v>10001260</v>
      </c>
    </row>
    <row r="3" spans="1:6" ht="15.75" x14ac:dyDescent="0.25">
      <c r="C3" s="40" t="s">
        <v>8</v>
      </c>
      <c r="E3" s="1" t="s">
        <v>10</v>
      </c>
      <c r="F3" s="1">
        <v>10000730</v>
      </c>
    </row>
    <row r="4" spans="1:6" ht="15.75" x14ac:dyDescent="0.25">
      <c r="C4" s="41" t="s">
        <v>11</v>
      </c>
      <c r="E4" s="1" t="s">
        <v>12</v>
      </c>
      <c r="F4" s="1">
        <v>10001210</v>
      </c>
    </row>
    <row r="5" spans="1:6" ht="15.75" x14ac:dyDescent="0.25">
      <c r="C5" s="41" t="s">
        <v>11</v>
      </c>
      <c r="E5" s="1" t="s">
        <v>13</v>
      </c>
      <c r="F5" s="1">
        <v>10001215</v>
      </c>
    </row>
    <row r="6" spans="1:6" ht="15.75" x14ac:dyDescent="0.25">
      <c r="C6" s="41" t="s">
        <v>14</v>
      </c>
      <c r="E6" s="1" t="s">
        <v>15</v>
      </c>
      <c r="F6" s="1">
        <v>10001213</v>
      </c>
    </row>
    <row r="7" spans="1:6" ht="15.75" x14ac:dyDescent="0.25">
      <c r="C7" s="41" t="s">
        <v>14</v>
      </c>
      <c r="E7" s="1" t="s">
        <v>16</v>
      </c>
      <c r="F7" s="1">
        <v>10001200</v>
      </c>
    </row>
    <row r="8" spans="1:6" ht="15.75" x14ac:dyDescent="0.25">
      <c r="C8" s="41" t="s">
        <v>14</v>
      </c>
      <c r="E8" s="1" t="s">
        <v>17</v>
      </c>
      <c r="F8" s="1">
        <v>10000284</v>
      </c>
    </row>
    <row r="9" spans="1:6" ht="15.75" x14ac:dyDescent="0.25">
      <c r="C9" s="41" t="s">
        <v>18</v>
      </c>
      <c r="E9" s="1" t="s">
        <v>19</v>
      </c>
      <c r="F9" s="1">
        <v>10000721</v>
      </c>
    </row>
    <row r="10" spans="1:6" ht="15.75" x14ac:dyDescent="0.25">
      <c r="C10" s="41" t="s">
        <v>18</v>
      </c>
      <c r="E10" s="1" t="s">
        <v>20</v>
      </c>
      <c r="F10" s="1">
        <v>10000276</v>
      </c>
    </row>
    <row r="11" spans="1:6" ht="15.75" x14ac:dyDescent="0.25">
      <c r="C11" s="42" t="s">
        <v>21</v>
      </c>
      <c r="E11" s="1" t="s">
        <v>22</v>
      </c>
      <c r="F11" s="1">
        <v>10000900</v>
      </c>
    </row>
    <row r="12" spans="1:6" ht="15.75" x14ac:dyDescent="0.25">
      <c r="C12" s="42" t="s">
        <v>21</v>
      </c>
      <c r="E12" s="1" t="s">
        <v>23</v>
      </c>
      <c r="F12" s="1">
        <v>10000279</v>
      </c>
    </row>
    <row r="13" spans="1:6" ht="15.75" x14ac:dyDescent="0.25">
      <c r="C13" s="42" t="s">
        <v>24</v>
      </c>
      <c r="E13" s="1" t="s">
        <v>25</v>
      </c>
      <c r="F13" s="1">
        <v>10000824</v>
      </c>
    </row>
    <row r="14" spans="1:6" ht="15.75" x14ac:dyDescent="0.25">
      <c r="C14" s="42" t="s">
        <v>24</v>
      </c>
      <c r="E14" s="1" t="s">
        <v>26</v>
      </c>
      <c r="F14" s="1">
        <v>10000910</v>
      </c>
    </row>
    <row r="15" spans="1:6" ht="15.75" x14ac:dyDescent="0.25">
      <c r="C15" s="42" t="s">
        <v>27</v>
      </c>
      <c r="E15" s="1" t="s">
        <v>28</v>
      </c>
      <c r="F15" s="1">
        <v>10001462</v>
      </c>
    </row>
    <row r="16" spans="1:6" ht="15.75" x14ac:dyDescent="0.25">
      <c r="C16" s="42" t="s">
        <v>27</v>
      </c>
      <c r="E16" s="1" t="s">
        <v>29</v>
      </c>
      <c r="F16" s="1">
        <v>10000880</v>
      </c>
    </row>
    <row r="17" spans="3:6" ht="15.75" x14ac:dyDescent="0.25">
      <c r="C17" s="42" t="s">
        <v>30</v>
      </c>
      <c r="E17" s="1" t="s">
        <v>31</v>
      </c>
      <c r="F17" s="1">
        <v>10001341</v>
      </c>
    </row>
    <row r="18" spans="3:6" ht="15.75" x14ac:dyDescent="0.25">
      <c r="C18" s="42" t="s">
        <v>30</v>
      </c>
      <c r="E18" s="1" t="s">
        <v>32</v>
      </c>
      <c r="F18" s="73">
        <v>10000248</v>
      </c>
    </row>
    <row r="19" spans="3:6" ht="15.75" x14ac:dyDescent="0.25">
      <c r="C19" s="42" t="s">
        <v>33</v>
      </c>
      <c r="E19" s="1" t="s">
        <v>34</v>
      </c>
      <c r="F19" s="1">
        <v>10001452</v>
      </c>
    </row>
    <row r="20" spans="3:6" ht="15.75" x14ac:dyDescent="0.25">
      <c r="C20" s="42" t="s">
        <v>33</v>
      </c>
      <c r="E20" s="1" t="s">
        <v>35</v>
      </c>
      <c r="F20" s="1">
        <v>10001492</v>
      </c>
    </row>
    <row r="21" spans="3:6" ht="15.75" x14ac:dyDescent="0.25">
      <c r="C21" s="42" t="s">
        <v>36</v>
      </c>
      <c r="E21" s="1" t="s">
        <v>37</v>
      </c>
      <c r="F21" s="1">
        <v>10000890</v>
      </c>
    </row>
    <row r="22" spans="3:6" ht="15.75" x14ac:dyDescent="0.25">
      <c r="C22" s="42" t="s">
        <v>36</v>
      </c>
      <c r="E22" s="1" t="s">
        <v>38</v>
      </c>
      <c r="F22" s="1">
        <v>10001481</v>
      </c>
    </row>
    <row r="23" spans="3:6" ht="15.75" x14ac:dyDescent="0.25">
      <c r="C23" s="43" t="s">
        <v>39</v>
      </c>
      <c r="E23" s="1" t="s">
        <v>40</v>
      </c>
      <c r="F23" s="1">
        <v>20000770</v>
      </c>
    </row>
    <row r="24" spans="3:6" ht="15.75" x14ac:dyDescent="0.25">
      <c r="C24" s="43" t="s">
        <v>39</v>
      </c>
    </row>
    <row r="25" spans="3:6" ht="15.75" x14ac:dyDescent="0.25">
      <c r="C25" s="43" t="s">
        <v>41</v>
      </c>
    </row>
    <row r="26" spans="3:6" ht="15.75" x14ac:dyDescent="0.25">
      <c r="C26" s="43" t="s">
        <v>41</v>
      </c>
    </row>
    <row r="27" spans="3:6" ht="15.75" x14ac:dyDescent="0.25">
      <c r="C27" s="43" t="s">
        <v>42</v>
      </c>
    </row>
    <row r="28" spans="3:6" ht="15.75" x14ac:dyDescent="0.25">
      <c r="C28" s="43" t="s">
        <v>42</v>
      </c>
    </row>
    <row r="29" spans="3:6" ht="15.75" x14ac:dyDescent="0.25">
      <c r="C29" s="43" t="s">
        <v>43</v>
      </c>
    </row>
    <row r="30" spans="3:6" ht="15.75" x14ac:dyDescent="0.25">
      <c r="C30" s="43" t="s">
        <v>43</v>
      </c>
    </row>
    <row r="31" spans="3:6" ht="15.75" x14ac:dyDescent="0.25">
      <c r="C31" s="43" t="s">
        <v>44</v>
      </c>
    </row>
    <row r="32" spans="3:6" ht="15.75" x14ac:dyDescent="0.25">
      <c r="C32" s="43" t="s">
        <v>44</v>
      </c>
    </row>
    <row r="33" spans="3:3" ht="15.75" x14ac:dyDescent="0.25">
      <c r="C33" s="44" t="s">
        <v>45</v>
      </c>
    </row>
    <row r="34" spans="3:3" ht="15.75" x14ac:dyDescent="0.25">
      <c r="C34" s="44" t="s">
        <v>45</v>
      </c>
    </row>
    <row r="35" spans="3:3" ht="15.75" x14ac:dyDescent="0.25">
      <c r="C35" s="44" t="s">
        <v>46</v>
      </c>
    </row>
    <row r="36" spans="3:3" ht="15.75" x14ac:dyDescent="0.25">
      <c r="C36" s="44" t="s">
        <v>46</v>
      </c>
    </row>
    <row r="37" spans="3:3" ht="15.75" x14ac:dyDescent="0.25">
      <c r="C37" s="44" t="s">
        <v>47</v>
      </c>
    </row>
    <row r="38" spans="3:3" ht="15.75" x14ac:dyDescent="0.25">
      <c r="C38" s="44" t="s">
        <v>47</v>
      </c>
    </row>
    <row r="39" spans="3:3" ht="15.75" x14ac:dyDescent="0.25">
      <c r="C39" s="44" t="s">
        <v>48</v>
      </c>
    </row>
    <row r="40" spans="3:3" ht="15.75" x14ac:dyDescent="0.25">
      <c r="C40" s="44" t="s">
        <v>48</v>
      </c>
    </row>
    <row r="41" spans="3:3" ht="15.75" x14ac:dyDescent="0.25">
      <c r="C41" s="44" t="s">
        <v>49</v>
      </c>
    </row>
    <row r="42" spans="3:3" ht="15.75" x14ac:dyDescent="0.25">
      <c r="C42" s="44" t="s">
        <v>49</v>
      </c>
    </row>
    <row r="43" spans="3:3" ht="15.75" x14ac:dyDescent="0.25">
      <c r="C43" s="44" t="s">
        <v>50</v>
      </c>
    </row>
    <row r="44" spans="3:3" ht="15.75" x14ac:dyDescent="0.25">
      <c r="C44" s="44" t="s">
        <v>50</v>
      </c>
    </row>
    <row r="45" spans="3:3" ht="15.75" x14ac:dyDescent="0.25">
      <c r="C45" s="41" t="s">
        <v>51</v>
      </c>
    </row>
    <row r="46" spans="3:3" ht="15.75" x14ac:dyDescent="0.25">
      <c r="C46" s="41" t="s">
        <v>51</v>
      </c>
    </row>
    <row r="47" spans="3:3" ht="15.75" x14ac:dyDescent="0.25">
      <c r="C47" s="41" t="s">
        <v>51</v>
      </c>
    </row>
    <row r="48" spans="3:3" ht="15.75" x14ac:dyDescent="0.25">
      <c r="C48" s="41" t="s">
        <v>52</v>
      </c>
    </row>
    <row r="49" spans="3:3" ht="15.75" x14ac:dyDescent="0.25">
      <c r="C49" s="41" t="s">
        <v>53</v>
      </c>
    </row>
    <row r="50" spans="3:3" ht="15.75" x14ac:dyDescent="0.25">
      <c r="C50" s="41" t="s">
        <v>53</v>
      </c>
    </row>
    <row r="51" spans="3:3" ht="15.75" x14ac:dyDescent="0.25">
      <c r="C51" s="41" t="s">
        <v>54</v>
      </c>
    </row>
    <row r="52" spans="3:3" ht="15.75" x14ac:dyDescent="0.25">
      <c r="C52" s="41" t="s">
        <v>54</v>
      </c>
    </row>
    <row r="53" spans="3:3" ht="15.75" x14ac:dyDescent="0.25">
      <c r="C53" s="41" t="s">
        <v>55</v>
      </c>
    </row>
    <row r="54" spans="3:3" ht="15.75" x14ac:dyDescent="0.25">
      <c r="C54" s="41" t="s">
        <v>55</v>
      </c>
    </row>
    <row r="55" spans="3:3" ht="15.75" x14ac:dyDescent="0.25">
      <c r="C55" s="41" t="s">
        <v>56</v>
      </c>
    </row>
    <row r="56" spans="3:3" ht="15.75" x14ac:dyDescent="0.25">
      <c r="C56" s="41" t="s">
        <v>56</v>
      </c>
    </row>
    <row r="57" spans="3:3" ht="15.75" x14ac:dyDescent="0.25">
      <c r="C57" s="41" t="s">
        <v>57</v>
      </c>
    </row>
    <row r="58" spans="3:3" ht="15.75" x14ac:dyDescent="0.25">
      <c r="C58" s="41" t="s">
        <v>57</v>
      </c>
    </row>
    <row r="59" spans="3:3" ht="15.75" x14ac:dyDescent="0.25">
      <c r="C59" s="41" t="s">
        <v>58</v>
      </c>
    </row>
    <row r="60" spans="3:3" ht="15.75" x14ac:dyDescent="0.25">
      <c r="C60" s="41" t="s">
        <v>58</v>
      </c>
    </row>
    <row r="61" spans="3:3" ht="15.75" x14ac:dyDescent="0.25">
      <c r="C61" s="41" t="s">
        <v>59</v>
      </c>
    </row>
    <row r="62" spans="3:3" ht="15.75" x14ac:dyDescent="0.25">
      <c r="C62" s="41" t="s">
        <v>59</v>
      </c>
    </row>
    <row r="63" spans="3:3" ht="15.75" x14ac:dyDescent="0.25">
      <c r="C63" s="41" t="s">
        <v>60</v>
      </c>
    </row>
    <row r="64" spans="3:3" ht="15.75" x14ac:dyDescent="0.25">
      <c r="C64" s="41" t="s">
        <v>60</v>
      </c>
    </row>
    <row r="65" spans="3:3" ht="15.75" x14ac:dyDescent="0.25">
      <c r="C65" s="41" t="s">
        <v>61</v>
      </c>
    </row>
    <row r="66" spans="3:3" ht="15.75" x14ac:dyDescent="0.25">
      <c r="C66" s="41" t="s">
        <v>61</v>
      </c>
    </row>
    <row r="67" spans="3:3" ht="15.75" x14ac:dyDescent="0.25">
      <c r="C67" s="41" t="s">
        <v>62</v>
      </c>
    </row>
    <row r="68" spans="3:3" ht="15.75" x14ac:dyDescent="0.25">
      <c r="C68" s="41" t="s">
        <v>62</v>
      </c>
    </row>
    <row r="69" spans="3:3" ht="15.75" x14ac:dyDescent="0.25">
      <c r="C69" s="43" t="s">
        <v>63</v>
      </c>
    </row>
    <row r="70" spans="3:3" ht="15.75" x14ac:dyDescent="0.25">
      <c r="C70" s="43" t="s">
        <v>63</v>
      </c>
    </row>
    <row r="71" spans="3:3" ht="15.75" x14ac:dyDescent="0.25">
      <c r="C71" s="43" t="s">
        <v>64</v>
      </c>
    </row>
    <row r="72" spans="3:3" ht="15.75" x14ac:dyDescent="0.25">
      <c r="C72" s="43" t="s">
        <v>64</v>
      </c>
    </row>
    <row r="73" spans="3:3" ht="15.75" x14ac:dyDescent="0.25">
      <c r="C73" s="43" t="s">
        <v>65</v>
      </c>
    </row>
    <row r="74" spans="3:3" ht="15.75" x14ac:dyDescent="0.25">
      <c r="C74" s="43" t="s">
        <v>65</v>
      </c>
    </row>
    <row r="75" spans="3:3" ht="15.75" x14ac:dyDescent="0.25">
      <c r="C75" s="43" t="s">
        <v>66</v>
      </c>
    </row>
    <row r="76" spans="3:3" ht="15.75" x14ac:dyDescent="0.25">
      <c r="C76" s="43" t="s">
        <v>66</v>
      </c>
    </row>
    <row r="77" spans="3:3" ht="15.75" x14ac:dyDescent="0.25">
      <c r="C77" s="43" t="s">
        <v>67</v>
      </c>
    </row>
    <row r="78" spans="3:3" ht="15.75" x14ac:dyDescent="0.25">
      <c r="C78" s="43" t="s">
        <v>67</v>
      </c>
    </row>
    <row r="79" spans="3:3" ht="15.75" x14ac:dyDescent="0.25">
      <c r="C79" s="43" t="s">
        <v>68</v>
      </c>
    </row>
    <row r="80" spans="3:3" ht="15.75" x14ac:dyDescent="0.25">
      <c r="C80" s="43" t="s">
        <v>68</v>
      </c>
    </row>
    <row r="81" spans="3:3" ht="15.75" x14ac:dyDescent="0.25">
      <c r="C81" s="43" t="s">
        <v>69</v>
      </c>
    </row>
    <row r="82" spans="3:3" ht="15.75" x14ac:dyDescent="0.25">
      <c r="C82" s="43" t="s">
        <v>69</v>
      </c>
    </row>
    <row r="83" spans="3:3" ht="15.75" x14ac:dyDescent="0.25">
      <c r="C83" s="43" t="s">
        <v>70</v>
      </c>
    </row>
    <row r="84" spans="3:3" ht="15.75" x14ac:dyDescent="0.25">
      <c r="C84" s="43" t="s">
        <v>70</v>
      </c>
    </row>
    <row r="85" spans="3:3" ht="15.75" x14ac:dyDescent="0.25">
      <c r="C85" s="43" t="s">
        <v>71</v>
      </c>
    </row>
    <row r="86" spans="3:3" ht="15.75" x14ac:dyDescent="0.25">
      <c r="C86" s="43" t="s">
        <v>71</v>
      </c>
    </row>
    <row r="87" spans="3:3" ht="15.75" x14ac:dyDescent="0.25">
      <c r="C87" s="43" t="s">
        <v>72</v>
      </c>
    </row>
    <row r="88" spans="3:3" ht="15.75" x14ac:dyDescent="0.25">
      <c r="C88" s="43" t="s">
        <v>72</v>
      </c>
    </row>
    <row r="89" spans="3:3" ht="15.75" x14ac:dyDescent="0.25">
      <c r="C89" s="43" t="s">
        <v>73</v>
      </c>
    </row>
    <row r="90" spans="3:3" ht="15.75" x14ac:dyDescent="0.25">
      <c r="C90" s="43" t="s">
        <v>73</v>
      </c>
    </row>
    <row r="91" spans="3:3" ht="15.75" x14ac:dyDescent="0.25">
      <c r="C91" s="43" t="s">
        <v>74</v>
      </c>
    </row>
    <row r="92" spans="3:3" ht="15.75" x14ac:dyDescent="0.25">
      <c r="C92" s="43" t="s">
        <v>74</v>
      </c>
    </row>
    <row r="93" spans="3:3" ht="15.75" x14ac:dyDescent="0.25">
      <c r="C93" s="43" t="s">
        <v>75</v>
      </c>
    </row>
    <row r="94" spans="3:3" ht="15.75" x14ac:dyDescent="0.25">
      <c r="C94" s="43" t="s">
        <v>75</v>
      </c>
    </row>
    <row r="95" spans="3:3" ht="15.75" x14ac:dyDescent="0.25">
      <c r="C95" s="48" t="s">
        <v>76</v>
      </c>
    </row>
    <row r="96" spans="3:3" ht="15.75" x14ac:dyDescent="0.25">
      <c r="C96" s="48" t="s">
        <v>76</v>
      </c>
    </row>
    <row r="97" spans="3:3" ht="15.75" x14ac:dyDescent="0.25">
      <c r="C97" s="48" t="s">
        <v>76</v>
      </c>
    </row>
    <row r="98" spans="3:3" ht="15.75" x14ac:dyDescent="0.25">
      <c r="C98" s="48" t="s">
        <v>77</v>
      </c>
    </row>
    <row r="99" spans="3:3" ht="15.75" x14ac:dyDescent="0.25">
      <c r="C99" s="48" t="s">
        <v>77</v>
      </c>
    </row>
    <row r="100" spans="3:3" ht="15.75" x14ac:dyDescent="0.25">
      <c r="C100" s="48" t="s">
        <v>78</v>
      </c>
    </row>
    <row r="101" spans="3:3" ht="15.75" x14ac:dyDescent="0.25">
      <c r="C101" s="48" t="s">
        <v>78</v>
      </c>
    </row>
    <row r="102" spans="3:3" ht="15.75" x14ac:dyDescent="0.25">
      <c r="C102" s="48" t="s">
        <v>79</v>
      </c>
    </row>
    <row r="103" spans="3:3" ht="15.75" x14ac:dyDescent="0.25">
      <c r="C103" s="48" t="s">
        <v>79</v>
      </c>
    </row>
    <row r="104" spans="3:3" ht="15.75" x14ac:dyDescent="0.25">
      <c r="C104" s="48" t="s">
        <v>79</v>
      </c>
    </row>
    <row r="105" spans="3:3" ht="15.75" x14ac:dyDescent="0.25">
      <c r="C105" s="48" t="s">
        <v>79</v>
      </c>
    </row>
    <row r="106" spans="3:3" ht="15.75" x14ac:dyDescent="0.25">
      <c r="C106" s="48" t="s">
        <v>80</v>
      </c>
    </row>
    <row r="107" spans="3:3" ht="15.75" x14ac:dyDescent="0.25">
      <c r="C107" s="48" t="s">
        <v>80</v>
      </c>
    </row>
    <row r="108" spans="3:3" ht="15.75" x14ac:dyDescent="0.25">
      <c r="C108" s="48" t="s">
        <v>81</v>
      </c>
    </row>
    <row r="109" spans="3:3" ht="15.75" x14ac:dyDescent="0.25">
      <c r="C109" s="48" t="s">
        <v>81</v>
      </c>
    </row>
    <row r="110" spans="3:3" ht="15.75" x14ac:dyDescent="0.25">
      <c r="C110" s="48" t="s">
        <v>81</v>
      </c>
    </row>
    <row r="111" spans="3:3" ht="15.75" x14ac:dyDescent="0.25">
      <c r="C111" s="48" t="s">
        <v>81</v>
      </c>
    </row>
    <row r="112" spans="3:3" ht="15.75" x14ac:dyDescent="0.25">
      <c r="C112" s="48" t="s">
        <v>82</v>
      </c>
    </row>
    <row r="113" spans="3:3" ht="15.75" x14ac:dyDescent="0.25">
      <c r="C113" s="48" t="s">
        <v>82</v>
      </c>
    </row>
    <row r="114" spans="3:3" ht="15.75" x14ac:dyDescent="0.25">
      <c r="C114" s="48" t="s">
        <v>83</v>
      </c>
    </row>
    <row r="115" spans="3:3" ht="15.75" x14ac:dyDescent="0.25">
      <c r="C115" s="48" t="s">
        <v>83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3E0B9-9624-4633-B25D-720A80190F3A}">
  <sheetPr codeName="Planilha2"/>
  <dimension ref="A1:K87"/>
  <sheetViews>
    <sheetView showGridLines="0" workbookViewId="0">
      <selection activeCell="K11" sqref="K11"/>
    </sheetView>
  </sheetViews>
  <sheetFormatPr defaultRowHeight="15" x14ac:dyDescent="0.25"/>
  <cols>
    <col min="1" max="1" width="17.85546875" customWidth="1"/>
    <col min="2" max="2" width="18.85546875" customWidth="1"/>
    <col min="4" max="4" width="11.85546875" customWidth="1"/>
    <col min="5" max="5" width="13.140625" customWidth="1"/>
    <col min="6" max="6" width="15.5703125" customWidth="1"/>
    <col min="7" max="7" width="19.85546875" bestFit="1" customWidth="1"/>
    <col min="9" max="9" width="15.28515625" style="75" customWidth="1"/>
  </cols>
  <sheetData>
    <row r="1" spans="1:11" ht="80.25" customHeight="1" x14ac:dyDescent="0.25">
      <c r="A1" s="93"/>
      <c r="B1" s="94"/>
      <c r="C1" s="94"/>
      <c r="D1" s="94"/>
      <c r="E1" s="94"/>
      <c r="F1" s="94"/>
      <c r="G1" s="94"/>
      <c r="H1" s="94"/>
      <c r="I1" s="94"/>
      <c r="J1" s="86"/>
      <c r="K1" s="86"/>
    </row>
    <row r="2" spans="1:11" ht="15.75" x14ac:dyDescent="0.25">
      <c r="A2" s="95" t="s">
        <v>84</v>
      </c>
      <c r="B2" s="95" t="s">
        <v>5</v>
      </c>
      <c r="C2" s="95" t="s">
        <v>85</v>
      </c>
      <c r="D2" s="95" t="s">
        <v>86</v>
      </c>
      <c r="E2" s="95" t="s">
        <v>87</v>
      </c>
      <c r="F2" s="95" t="s">
        <v>88</v>
      </c>
      <c r="G2" s="95" t="s">
        <v>89</v>
      </c>
      <c r="H2" s="95" t="s">
        <v>90</v>
      </c>
      <c r="I2" s="96" t="s">
        <v>3</v>
      </c>
    </row>
    <row r="3" spans="1:11" x14ac:dyDescent="0.25">
      <c r="A3" s="90"/>
      <c r="B3" s="90"/>
      <c r="C3" s="90"/>
      <c r="D3" s="90"/>
      <c r="E3" s="90"/>
      <c r="F3" s="90"/>
      <c r="G3" s="91">
        <f>E3/40</f>
        <v>0</v>
      </c>
      <c r="H3" s="90"/>
      <c r="I3" s="92">
        <f>G3/12</f>
        <v>0</v>
      </c>
    </row>
    <row r="4" spans="1:11" x14ac:dyDescent="0.25">
      <c r="A4" s="89"/>
      <c r="B4" s="89"/>
      <c r="C4" s="89"/>
      <c r="D4" s="89"/>
      <c r="E4" s="89"/>
      <c r="F4" s="89"/>
      <c r="G4" s="87">
        <f t="shared" ref="G4:G67" si="0">E4/40</f>
        <v>0</v>
      </c>
      <c r="H4" s="89"/>
      <c r="I4" s="88">
        <f t="shared" ref="I4:I31" si="1">G4/12</f>
        <v>0</v>
      </c>
    </row>
    <row r="5" spans="1:11" x14ac:dyDescent="0.25">
      <c r="A5" s="89"/>
      <c r="B5" s="89"/>
      <c r="C5" s="89"/>
      <c r="D5" s="89"/>
      <c r="E5" s="89"/>
      <c r="F5" s="89"/>
      <c r="G5" s="87">
        <f t="shared" si="0"/>
        <v>0</v>
      </c>
      <c r="H5" s="89"/>
      <c r="I5" s="88">
        <f t="shared" si="1"/>
        <v>0</v>
      </c>
    </row>
    <row r="6" spans="1:11" x14ac:dyDescent="0.25">
      <c r="A6" s="89"/>
      <c r="B6" s="89"/>
      <c r="C6" s="89"/>
      <c r="D6" s="89"/>
      <c r="E6" s="89"/>
      <c r="F6" s="89"/>
      <c r="G6" s="87">
        <f t="shared" si="0"/>
        <v>0</v>
      </c>
      <c r="H6" s="89"/>
      <c r="I6" s="88">
        <f t="shared" si="1"/>
        <v>0</v>
      </c>
    </row>
    <row r="7" spans="1:11" x14ac:dyDescent="0.25">
      <c r="A7" s="89"/>
      <c r="B7" s="89"/>
      <c r="C7" s="89"/>
      <c r="D7" s="89"/>
      <c r="E7" s="89"/>
      <c r="F7" s="89"/>
      <c r="G7" s="87">
        <f t="shared" si="0"/>
        <v>0</v>
      </c>
      <c r="H7" s="89"/>
      <c r="I7" s="88">
        <f t="shared" si="1"/>
        <v>0</v>
      </c>
    </row>
    <row r="8" spans="1:11" x14ac:dyDescent="0.25">
      <c r="A8" s="89"/>
      <c r="B8" s="89"/>
      <c r="C8" s="89"/>
      <c r="D8" s="89"/>
      <c r="E8" s="89"/>
      <c r="F8" s="89"/>
      <c r="G8" s="87">
        <f t="shared" si="0"/>
        <v>0</v>
      </c>
      <c r="H8" s="89"/>
      <c r="I8" s="88">
        <f t="shared" si="1"/>
        <v>0</v>
      </c>
    </row>
    <row r="9" spans="1:11" x14ac:dyDescent="0.25">
      <c r="A9" s="89"/>
      <c r="B9" s="89"/>
      <c r="C9" s="89"/>
      <c r="D9" s="89"/>
      <c r="E9" s="89"/>
      <c r="F9" s="89"/>
      <c r="G9" s="87">
        <f t="shared" si="0"/>
        <v>0</v>
      </c>
      <c r="H9" s="89"/>
      <c r="I9" s="88">
        <f t="shared" si="1"/>
        <v>0</v>
      </c>
    </row>
    <row r="10" spans="1:11" x14ac:dyDescent="0.25">
      <c r="A10" s="89"/>
      <c r="B10" s="89"/>
      <c r="C10" s="89"/>
      <c r="D10" s="89"/>
      <c r="E10" s="89"/>
      <c r="F10" s="89"/>
      <c r="G10" s="87">
        <f t="shared" si="0"/>
        <v>0</v>
      </c>
      <c r="H10" s="89"/>
      <c r="I10" s="88">
        <f t="shared" si="1"/>
        <v>0</v>
      </c>
    </row>
    <row r="11" spans="1:11" x14ac:dyDescent="0.25">
      <c r="A11" s="89"/>
      <c r="B11" s="89"/>
      <c r="C11" s="89"/>
      <c r="D11" s="89"/>
      <c r="E11" s="89"/>
      <c r="F11" s="89"/>
      <c r="G11" s="87">
        <f t="shared" si="0"/>
        <v>0</v>
      </c>
      <c r="H11" s="89"/>
      <c r="I11" s="88">
        <f t="shared" si="1"/>
        <v>0</v>
      </c>
    </row>
    <row r="12" spans="1:11" x14ac:dyDescent="0.25">
      <c r="A12" s="89"/>
      <c r="B12" s="89"/>
      <c r="C12" s="89"/>
      <c r="D12" s="89"/>
      <c r="E12" s="89"/>
      <c r="F12" s="89"/>
      <c r="G12" s="87">
        <f t="shared" si="0"/>
        <v>0</v>
      </c>
      <c r="H12" s="89"/>
      <c r="I12" s="88">
        <f t="shared" si="1"/>
        <v>0</v>
      </c>
    </row>
    <row r="13" spans="1:11" x14ac:dyDescent="0.25">
      <c r="A13" s="89"/>
      <c r="B13" s="89"/>
      <c r="C13" s="89"/>
      <c r="D13" s="89"/>
      <c r="E13" s="89"/>
      <c r="F13" s="89"/>
      <c r="G13" s="87">
        <f t="shared" si="0"/>
        <v>0</v>
      </c>
      <c r="H13" s="89"/>
      <c r="I13" s="88">
        <f t="shared" si="1"/>
        <v>0</v>
      </c>
    </row>
    <row r="14" spans="1:11" x14ac:dyDescent="0.25">
      <c r="A14" s="89"/>
      <c r="B14" s="89"/>
      <c r="C14" s="89"/>
      <c r="D14" s="89"/>
      <c r="E14" s="89"/>
      <c r="F14" s="89"/>
      <c r="G14" s="87">
        <f t="shared" si="0"/>
        <v>0</v>
      </c>
      <c r="H14" s="89"/>
      <c r="I14" s="88">
        <f t="shared" si="1"/>
        <v>0</v>
      </c>
    </row>
    <row r="15" spans="1:11" x14ac:dyDescent="0.25">
      <c r="A15" s="89"/>
      <c r="B15" s="89"/>
      <c r="C15" s="89"/>
      <c r="D15" s="89"/>
      <c r="E15" s="89"/>
      <c r="F15" s="89"/>
      <c r="G15" s="87">
        <f t="shared" si="0"/>
        <v>0</v>
      </c>
      <c r="H15" s="89"/>
      <c r="I15" s="88">
        <f t="shared" si="1"/>
        <v>0</v>
      </c>
    </row>
    <row r="16" spans="1:11" x14ac:dyDescent="0.25">
      <c r="A16" s="89"/>
      <c r="B16" s="89"/>
      <c r="C16" s="89"/>
      <c r="D16" s="89"/>
      <c r="E16" s="89"/>
      <c r="F16" s="89"/>
      <c r="G16" s="87">
        <f t="shared" si="0"/>
        <v>0</v>
      </c>
      <c r="H16" s="89"/>
      <c r="I16" s="88">
        <f t="shared" si="1"/>
        <v>0</v>
      </c>
    </row>
    <row r="17" spans="1:9" x14ac:dyDescent="0.25">
      <c r="A17" s="89"/>
      <c r="B17" s="89"/>
      <c r="C17" s="89"/>
      <c r="D17" s="89"/>
      <c r="E17" s="89"/>
      <c r="F17" s="89"/>
      <c r="G17" s="87">
        <f t="shared" si="0"/>
        <v>0</v>
      </c>
      <c r="H17" s="89"/>
      <c r="I17" s="88">
        <f t="shared" si="1"/>
        <v>0</v>
      </c>
    </row>
    <row r="18" spans="1:9" x14ac:dyDescent="0.25">
      <c r="A18" s="89"/>
      <c r="B18" s="89"/>
      <c r="C18" s="89"/>
      <c r="D18" s="89"/>
      <c r="E18" s="89"/>
      <c r="F18" s="89"/>
      <c r="G18" s="87">
        <f t="shared" si="0"/>
        <v>0</v>
      </c>
      <c r="H18" s="89"/>
      <c r="I18" s="88">
        <f t="shared" si="1"/>
        <v>0</v>
      </c>
    </row>
    <row r="19" spans="1:9" x14ac:dyDescent="0.25">
      <c r="A19" s="89"/>
      <c r="B19" s="89"/>
      <c r="C19" s="89"/>
      <c r="D19" s="89"/>
      <c r="E19" s="89"/>
      <c r="F19" s="89"/>
      <c r="G19" s="87">
        <f t="shared" si="0"/>
        <v>0</v>
      </c>
      <c r="H19" s="89"/>
      <c r="I19" s="88">
        <f t="shared" si="1"/>
        <v>0</v>
      </c>
    </row>
    <row r="20" spans="1:9" x14ac:dyDescent="0.25">
      <c r="A20" s="89"/>
      <c r="B20" s="89"/>
      <c r="C20" s="89"/>
      <c r="D20" s="89"/>
      <c r="E20" s="89"/>
      <c r="F20" s="89"/>
      <c r="G20" s="87">
        <f t="shared" si="0"/>
        <v>0</v>
      </c>
      <c r="H20" s="89"/>
      <c r="I20" s="88">
        <f t="shared" si="1"/>
        <v>0</v>
      </c>
    </row>
    <row r="21" spans="1:9" x14ac:dyDescent="0.25">
      <c r="A21" s="89"/>
      <c r="B21" s="89"/>
      <c r="C21" s="89"/>
      <c r="D21" s="89"/>
      <c r="E21" s="89"/>
      <c r="F21" s="89"/>
      <c r="G21" s="87">
        <f t="shared" si="0"/>
        <v>0</v>
      </c>
      <c r="H21" s="89"/>
      <c r="I21" s="88">
        <f t="shared" si="1"/>
        <v>0</v>
      </c>
    </row>
    <row r="22" spans="1:9" x14ac:dyDescent="0.25">
      <c r="A22" s="89"/>
      <c r="B22" s="89"/>
      <c r="C22" s="89"/>
      <c r="D22" s="89"/>
      <c r="E22" s="89"/>
      <c r="F22" s="89"/>
      <c r="G22" s="87">
        <f t="shared" si="0"/>
        <v>0</v>
      </c>
      <c r="H22" s="89"/>
      <c r="I22" s="88">
        <f t="shared" si="1"/>
        <v>0</v>
      </c>
    </row>
    <row r="23" spans="1:9" x14ac:dyDescent="0.25">
      <c r="A23" s="89"/>
      <c r="B23" s="89"/>
      <c r="C23" s="89"/>
      <c r="D23" s="89"/>
      <c r="E23" s="89"/>
      <c r="F23" s="89"/>
      <c r="G23" s="87">
        <f t="shared" si="0"/>
        <v>0</v>
      </c>
      <c r="H23" s="89"/>
      <c r="I23" s="88">
        <f t="shared" si="1"/>
        <v>0</v>
      </c>
    </row>
    <row r="24" spans="1:9" x14ac:dyDescent="0.25">
      <c r="A24" s="89"/>
      <c r="B24" s="89"/>
      <c r="C24" s="89"/>
      <c r="D24" s="89"/>
      <c r="E24" s="89"/>
      <c r="F24" s="89"/>
      <c r="G24" s="87">
        <f t="shared" si="0"/>
        <v>0</v>
      </c>
      <c r="H24" s="89"/>
      <c r="I24" s="88">
        <f t="shared" si="1"/>
        <v>0</v>
      </c>
    </row>
    <row r="25" spans="1:9" x14ac:dyDescent="0.25">
      <c r="A25" s="89"/>
      <c r="B25" s="89"/>
      <c r="C25" s="89"/>
      <c r="D25" s="89"/>
      <c r="E25" s="89"/>
      <c r="F25" s="89"/>
      <c r="G25" s="87">
        <f t="shared" si="0"/>
        <v>0</v>
      </c>
      <c r="H25" s="89"/>
      <c r="I25" s="88">
        <f t="shared" si="1"/>
        <v>0</v>
      </c>
    </row>
    <row r="26" spans="1:9" x14ac:dyDescent="0.25">
      <c r="A26" s="89"/>
      <c r="B26" s="89"/>
      <c r="C26" s="89"/>
      <c r="D26" s="89"/>
      <c r="E26" s="89"/>
      <c r="F26" s="89"/>
      <c r="G26" s="87">
        <f t="shared" si="0"/>
        <v>0</v>
      </c>
      <c r="H26" s="89"/>
      <c r="I26" s="88">
        <f t="shared" si="1"/>
        <v>0</v>
      </c>
    </row>
    <row r="27" spans="1:9" x14ac:dyDescent="0.25">
      <c r="A27" s="89"/>
      <c r="B27" s="89"/>
      <c r="C27" s="89"/>
      <c r="D27" s="89"/>
      <c r="E27" s="89"/>
      <c r="F27" s="89"/>
      <c r="G27" s="87">
        <f t="shared" si="0"/>
        <v>0</v>
      </c>
      <c r="H27" s="89"/>
      <c r="I27" s="88">
        <f t="shared" si="1"/>
        <v>0</v>
      </c>
    </row>
    <row r="28" spans="1:9" x14ac:dyDescent="0.25">
      <c r="A28" s="89"/>
      <c r="B28" s="89"/>
      <c r="C28" s="89"/>
      <c r="D28" s="89"/>
      <c r="E28" s="89"/>
      <c r="F28" s="89"/>
      <c r="G28" s="87">
        <f t="shared" si="0"/>
        <v>0</v>
      </c>
      <c r="H28" s="89"/>
      <c r="I28" s="88">
        <f t="shared" si="1"/>
        <v>0</v>
      </c>
    </row>
    <row r="29" spans="1:9" x14ac:dyDescent="0.25">
      <c r="A29" s="89"/>
      <c r="B29" s="89"/>
      <c r="C29" s="89"/>
      <c r="D29" s="89"/>
      <c r="E29" s="89"/>
      <c r="F29" s="89"/>
      <c r="G29" s="87">
        <f t="shared" si="0"/>
        <v>0</v>
      </c>
      <c r="H29" s="89"/>
      <c r="I29" s="88">
        <f t="shared" si="1"/>
        <v>0</v>
      </c>
    </row>
    <row r="30" spans="1:9" x14ac:dyDescent="0.25">
      <c r="A30" s="89"/>
      <c r="B30" s="89"/>
      <c r="C30" s="89"/>
      <c r="D30" s="89"/>
      <c r="E30" s="89"/>
      <c r="F30" s="89"/>
      <c r="G30" s="87">
        <f t="shared" si="0"/>
        <v>0</v>
      </c>
      <c r="H30" s="89"/>
      <c r="I30" s="88">
        <f t="shared" si="1"/>
        <v>0</v>
      </c>
    </row>
    <row r="31" spans="1:9" x14ac:dyDescent="0.25">
      <c r="A31" s="89"/>
      <c r="B31" s="89"/>
      <c r="C31" s="89"/>
      <c r="D31" s="89"/>
      <c r="E31" s="89"/>
      <c r="F31" s="89"/>
      <c r="G31" s="87">
        <f t="shared" si="0"/>
        <v>0</v>
      </c>
      <c r="H31" s="89"/>
      <c r="I31" s="88">
        <f t="shared" si="1"/>
        <v>0</v>
      </c>
    </row>
    <row r="32" spans="1:9" x14ac:dyDescent="0.25">
      <c r="A32" s="89"/>
      <c r="B32" s="89"/>
      <c r="C32" s="89"/>
      <c r="D32" s="89"/>
      <c r="E32" s="89"/>
      <c r="F32" s="89"/>
      <c r="G32" s="87">
        <f t="shared" si="0"/>
        <v>0</v>
      </c>
      <c r="H32" s="89"/>
      <c r="I32" s="88"/>
    </row>
    <row r="33" spans="1:9" x14ac:dyDescent="0.25">
      <c r="A33" s="89"/>
      <c r="B33" s="89"/>
      <c r="C33" s="89"/>
      <c r="D33" s="89"/>
      <c r="E33" s="89"/>
      <c r="F33" s="89"/>
      <c r="G33" s="87">
        <f t="shared" si="0"/>
        <v>0</v>
      </c>
      <c r="H33" s="89"/>
      <c r="I33" s="88"/>
    </row>
    <row r="34" spans="1:9" x14ac:dyDescent="0.25">
      <c r="A34" s="89"/>
      <c r="B34" s="89"/>
      <c r="C34" s="89"/>
      <c r="D34" s="89"/>
      <c r="E34" s="89"/>
      <c r="F34" s="89"/>
      <c r="G34" s="87">
        <f t="shared" si="0"/>
        <v>0</v>
      </c>
      <c r="H34" s="89"/>
      <c r="I34" s="88"/>
    </row>
    <row r="35" spans="1:9" x14ac:dyDescent="0.25">
      <c r="A35" s="89"/>
      <c r="B35" s="89"/>
      <c r="C35" s="89"/>
      <c r="D35" s="89"/>
      <c r="E35" s="89"/>
      <c r="F35" s="89"/>
      <c r="G35" s="87">
        <f t="shared" si="0"/>
        <v>0</v>
      </c>
      <c r="H35" s="89"/>
      <c r="I35" s="88"/>
    </row>
    <row r="36" spans="1:9" x14ac:dyDescent="0.25">
      <c r="A36" s="89"/>
      <c r="B36" s="89"/>
      <c r="C36" s="89"/>
      <c r="D36" s="89"/>
      <c r="E36" s="89"/>
      <c r="F36" s="89"/>
      <c r="G36" s="87">
        <f t="shared" si="0"/>
        <v>0</v>
      </c>
      <c r="H36" s="89"/>
      <c r="I36" s="88"/>
    </row>
    <row r="37" spans="1:9" x14ac:dyDescent="0.25">
      <c r="A37" s="89"/>
      <c r="B37" s="89"/>
      <c r="C37" s="89"/>
      <c r="D37" s="89"/>
      <c r="E37" s="89"/>
      <c r="F37" s="89"/>
      <c r="G37" s="87">
        <f t="shared" si="0"/>
        <v>0</v>
      </c>
      <c r="H37" s="89"/>
      <c r="I37" s="88"/>
    </row>
    <row r="38" spans="1:9" x14ac:dyDescent="0.25">
      <c r="A38" s="89"/>
      <c r="B38" s="89"/>
      <c r="C38" s="89"/>
      <c r="D38" s="89"/>
      <c r="E38" s="89"/>
      <c r="F38" s="89"/>
      <c r="G38" s="87">
        <f t="shared" si="0"/>
        <v>0</v>
      </c>
      <c r="H38" s="89"/>
      <c r="I38" s="88"/>
    </row>
    <row r="39" spans="1:9" x14ac:dyDescent="0.25">
      <c r="A39" s="89"/>
      <c r="B39" s="89"/>
      <c r="C39" s="89"/>
      <c r="D39" s="89"/>
      <c r="E39" s="89"/>
      <c r="F39" s="89"/>
      <c r="G39" s="87">
        <f t="shared" si="0"/>
        <v>0</v>
      </c>
      <c r="H39" s="89"/>
      <c r="I39" s="88"/>
    </row>
    <row r="40" spans="1:9" x14ac:dyDescent="0.25">
      <c r="A40" s="89"/>
      <c r="B40" s="89"/>
      <c r="C40" s="89"/>
      <c r="D40" s="89"/>
      <c r="E40" s="89"/>
      <c r="F40" s="89"/>
      <c r="G40" s="87">
        <f t="shared" si="0"/>
        <v>0</v>
      </c>
      <c r="H40" s="89"/>
      <c r="I40" s="88"/>
    </row>
    <row r="41" spans="1:9" x14ac:dyDescent="0.25">
      <c r="A41" s="89"/>
      <c r="B41" s="89"/>
      <c r="C41" s="89"/>
      <c r="D41" s="89"/>
      <c r="E41" s="89"/>
      <c r="F41" s="89"/>
      <c r="G41" s="87">
        <f t="shared" si="0"/>
        <v>0</v>
      </c>
      <c r="H41" s="89"/>
      <c r="I41" s="88"/>
    </row>
    <row r="42" spans="1:9" x14ac:dyDescent="0.25">
      <c r="A42" s="89"/>
      <c r="B42" s="89"/>
      <c r="C42" s="89"/>
      <c r="D42" s="89"/>
      <c r="E42" s="89"/>
      <c r="F42" s="89"/>
      <c r="G42" s="87">
        <f t="shared" si="0"/>
        <v>0</v>
      </c>
      <c r="H42" s="89"/>
      <c r="I42" s="88"/>
    </row>
    <row r="43" spans="1:9" x14ac:dyDescent="0.25">
      <c r="A43" s="89"/>
      <c r="B43" s="89"/>
      <c r="C43" s="89"/>
      <c r="D43" s="89"/>
      <c r="E43" s="89"/>
      <c r="F43" s="89"/>
      <c r="G43" s="87">
        <f t="shared" si="0"/>
        <v>0</v>
      </c>
      <c r="H43" s="89"/>
      <c r="I43" s="88"/>
    </row>
    <row r="44" spans="1:9" x14ac:dyDescent="0.25">
      <c r="A44" s="89"/>
      <c r="B44" s="89"/>
      <c r="C44" s="89"/>
      <c r="D44" s="89"/>
      <c r="E44" s="89"/>
      <c r="F44" s="89"/>
      <c r="G44" s="87">
        <f t="shared" si="0"/>
        <v>0</v>
      </c>
      <c r="H44" s="89"/>
      <c r="I44" s="88"/>
    </row>
    <row r="45" spans="1:9" x14ac:dyDescent="0.25">
      <c r="A45" s="89"/>
      <c r="B45" s="89"/>
      <c r="C45" s="89"/>
      <c r="D45" s="89"/>
      <c r="E45" s="89"/>
      <c r="F45" s="89"/>
      <c r="G45" s="87">
        <f t="shared" si="0"/>
        <v>0</v>
      </c>
      <c r="H45" s="89"/>
      <c r="I45" s="88"/>
    </row>
    <row r="46" spans="1:9" x14ac:dyDescent="0.25">
      <c r="A46" s="89"/>
      <c r="B46" s="89"/>
      <c r="C46" s="89"/>
      <c r="D46" s="89"/>
      <c r="E46" s="89"/>
      <c r="F46" s="89"/>
      <c r="G46" s="87">
        <f t="shared" si="0"/>
        <v>0</v>
      </c>
      <c r="H46" s="89"/>
      <c r="I46" s="88"/>
    </row>
    <row r="47" spans="1:9" x14ac:dyDescent="0.25">
      <c r="A47" s="89"/>
      <c r="B47" s="89"/>
      <c r="C47" s="89"/>
      <c r="D47" s="89"/>
      <c r="E47" s="89"/>
      <c r="F47" s="89"/>
      <c r="G47" s="87">
        <f t="shared" si="0"/>
        <v>0</v>
      </c>
      <c r="H47" s="89"/>
      <c r="I47" s="88"/>
    </row>
    <row r="48" spans="1:9" x14ac:dyDescent="0.25">
      <c r="A48" s="89"/>
      <c r="B48" s="89"/>
      <c r="C48" s="89"/>
      <c r="D48" s="89"/>
      <c r="E48" s="89"/>
      <c r="F48" s="89"/>
      <c r="G48" s="87">
        <f t="shared" si="0"/>
        <v>0</v>
      </c>
      <c r="H48" s="89"/>
      <c r="I48" s="88"/>
    </row>
    <row r="49" spans="1:9" x14ac:dyDescent="0.25">
      <c r="A49" s="89"/>
      <c r="B49" s="89"/>
      <c r="C49" s="89"/>
      <c r="D49" s="89"/>
      <c r="E49" s="89"/>
      <c r="F49" s="89"/>
      <c r="G49" s="87">
        <f t="shared" si="0"/>
        <v>0</v>
      </c>
      <c r="H49" s="89"/>
      <c r="I49" s="88"/>
    </row>
    <row r="50" spans="1:9" x14ac:dyDescent="0.25">
      <c r="A50" s="89"/>
      <c r="B50" s="89"/>
      <c r="C50" s="89"/>
      <c r="D50" s="89"/>
      <c r="E50" s="89"/>
      <c r="F50" s="89"/>
      <c r="G50" s="87">
        <f t="shared" si="0"/>
        <v>0</v>
      </c>
      <c r="H50" s="89"/>
      <c r="I50" s="88"/>
    </row>
    <row r="51" spans="1:9" x14ac:dyDescent="0.25">
      <c r="A51" s="89"/>
      <c r="B51" s="89"/>
      <c r="C51" s="89"/>
      <c r="D51" s="89"/>
      <c r="E51" s="89"/>
      <c r="F51" s="89"/>
      <c r="G51" s="87">
        <f t="shared" si="0"/>
        <v>0</v>
      </c>
      <c r="H51" s="89"/>
      <c r="I51" s="88"/>
    </row>
    <row r="52" spans="1:9" x14ac:dyDescent="0.25">
      <c r="A52" s="89"/>
      <c r="B52" s="89"/>
      <c r="C52" s="89"/>
      <c r="D52" s="89"/>
      <c r="E52" s="89"/>
      <c r="F52" s="89"/>
      <c r="G52" s="87">
        <f t="shared" si="0"/>
        <v>0</v>
      </c>
      <c r="H52" s="89"/>
      <c r="I52" s="88"/>
    </row>
    <row r="53" spans="1:9" x14ac:dyDescent="0.25">
      <c r="A53" s="89"/>
      <c r="B53" s="89"/>
      <c r="C53" s="89"/>
      <c r="D53" s="89"/>
      <c r="E53" s="89"/>
      <c r="F53" s="89"/>
      <c r="G53" s="87">
        <f t="shared" si="0"/>
        <v>0</v>
      </c>
      <c r="H53" s="89"/>
      <c r="I53" s="88"/>
    </row>
    <row r="54" spans="1:9" x14ac:dyDescent="0.25">
      <c r="A54" s="89"/>
      <c r="B54" s="89"/>
      <c r="C54" s="89"/>
      <c r="D54" s="89"/>
      <c r="E54" s="89"/>
      <c r="F54" s="89"/>
      <c r="G54" s="87">
        <f t="shared" si="0"/>
        <v>0</v>
      </c>
      <c r="H54" s="89"/>
      <c r="I54" s="88"/>
    </row>
    <row r="55" spans="1:9" x14ac:dyDescent="0.25">
      <c r="A55" s="89"/>
      <c r="B55" s="89"/>
      <c r="C55" s="89"/>
      <c r="D55" s="89"/>
      <c r="E55" s="89"/>
      <c r="F55" s="89"/>
      <c r="G55" s="87">
        <f t="shared" si="0"/>
        <v>0</v>
      </c>
      <c r="H55" s="89"/>
      <c r="I55" s="88"/>
    </row>
    <row r="56" spans="1:9" x14ac:dyDescent="0.25">
      <c r="A56" s="89"/>
      <c r="B56" s="89"/>
      <c r="C56" s="89"/>
      <c r="D56" s="89"/>
      <c r="E56" s="89"/>
      <c r="F56" s="89"/>
      <c r="G56" s="87">
        <f t="shared" si="0"/>
        <v>0</v>
      </c>
      <c r="H56" s="89"/>
      <c r="I56" s="88"/>
    </row>
    <row r="57" spans="1:9" x14ac:dyDescent="0.25">
      <c r="A57" s="89"/>
      <c r="B57" s="89"/>
      <c r="C57" s="89"/>
      <c r="D57" s="89"/>
      <c r="E57" s="89"/>
      <c r="F57" s="89"/>
      <c r="G57" s="87">
        <f t="shared" si="0"/>
        <v>0</v>
      </c>
      <c r="H57" s="89"/>
      <c r="I57" s="88"/>
    </row>
    <row r="58" spans="1:9" x14ac:dyDescent="0.25">
      <c r="A58" s="89"/>
      <c r="B58" s="89"/>
      <c r="C58" s="89"/>
      <c r="D58" s="89"/>
      <c r="E58" s="89"/>
      <c r="F58" s="89"/>
      <c r="G58" s="87">
        <f t="shared" si="0"/>
        <v>0</v>
      </c>
      <c r="H58" s="89"/>
      <c r="I58" s="88"/>
    </row>
    <row r="59" spans="1:9" x14ac:dyDescent="0.25">
      <c r="A59" s="89"/>
      <c r="B59" s="89"/>
      <c r="C59" s="89"/>
      <c r="D59" s="89"/>
      <c r="E59" s="89"/>
      <c r="F59" s="89"/>
      <c r="G59" s="87">
        <f t="shared" si="0"/>
        <v>0</v>
      </c>
      <c r="H59" s="89"/>
      <c r="I59" s="88"/>
    </row>
    <row r="60" spans="1:9" x14ac:dyDescent="0.25">
      <c r="A60" s="89"/>
      <c r="B60" s="89"/>
      <c r="C60" s="89"/>
      <c r="D60" s="89"/>
      <c r="E60" s="89"/>
      <c r="F60" s="89"/>
      <c r="G60" s="87">
        <f t="shared" si="0"/>
        <v>0</v>
      </c>
      <c r="H60" s="89"/>
      <c r="I60" s="88"/>
    </row>
    <row r="61" spans="1:9" x14ac:dyDescent="0.25">
      <c r="A61" s="89"/>
      <c r="B61" s="89"/>
      <c r="C61" s="89"/>
      <c r="D61" s="89"/>
      <c r="E61" s="89"/>
      <c r="F61" s="89"/>
      <c r="G61" s="87">
        <f t="shared" si="0"/>
        <v>0</v>
      </c>
      <c r="H61" s="89"/>
      <c r="I61" s="88"/>
    </row>
    <row r="62" spans="1:9" x14ac:dyDescent="0.25">
      <c r="A62" s="89"/>
      <c r="B62" s="89"/>
      <c r="C62" s="89"/>
      <c r="D62" s="89"/>
      <c r="E62" s="89"/>
      <c r="F62" s="89"/>
      <c r="G62" s="87">
        <f t="shared" si="0"/>
        <v>0</v>
      </c>
      <c r="H62" s="89"/>
      <c r="I62" s="88"/>
    </row>
    <row r="63" spans="1:9" x14ac:dyDescent="0.25">
      <c r="A63" s="89"/>
      <c r="B63" s="89"/>
      <c r="C63" s="89"/>
      <c r="D63" s="89"/>
      <c r="E63" s="89"/>
      <c r="F63" s="89"/>
      <c r="G63" s="87">
        <f t="shared" si="0"/>
        <v>0</v>
      </c>
      <c r="H63" s="89"/>
      <c r="I63" s="88"/>
    </row>
    <row r="64" spans="1:9" x14ac:dyDescent="0.25">
      <c r="A64" s="89"/>
      <c r="B64" s="89"/>
      <c r="C64" s="89"/>
      <c r="D64" s="89"/>
      <c r="E64" s="89"/>
      <c r="F64" s="89"/>
      <c r="G64" s="87">
        <f t="shared" si="0"/>
        <v>0</v>
      </c>
      <c r="H64" s="89"/>
      <c r="I64" s="88"/>
    </row>
    <row r="65" spans="1:9" x14ac:dyDescent="0.25">
      <c r="A65" s="89"/>
      <c r="B65" s="89"/>
      <c r="C65" s="89"/>
      <c r="D65" s="89"/>
      <c r="E65" s="89"/>
      <c r="F65" s="89"/>
      <c r="G65" s="87">
        <f t="shared" si="0"/>
        <v>0</v>
      </c>
      <c r="H65" s="89"/>
      <c r="I65" s="88"/>
    </row>
    <row r="66" spans="1:9" x14ac:dyDescent="0.25">
      <c r="A66" s="89"/>
      <c r="B66" s="89"/>
      <c r="C66" s="89"/>
      <c r="D66" s="89"/>
      <c r="E66" s="89"/>
      <c r="F66" s="89"/>
      <c r="G66" s="87">
        <f t="shared" si="0"/>
        <v>0</v>
      </c>
      <c r="H66" s="89"/>
      <c r="I66" s="88"/>
    </row>
    <row r="67" spans="1:9" x14ac:dyDescent="0.25">
      <c r="A67" s="89"/>
      <c r="B67" s="89"/>
      <c r="C67" s="89"/>
      <c r="D67" s="89"/>
      <c r="E67" s="89"/>
      <c r="F67" s="89"/>
      <c r="G67" s="87">
        <f t="shared" si="0"/>
        <v>0</v>
      </c>
      <c r="H67" s="89"/>
      <c r="I67" s="88"/>
    </row>
    <row r="68" spans="1:9" x14ac:dyDescent="0.25">
      <c r="A68" s="89"/>
      <c r="B68" s="89"/>
      <c r="C68" s="89"/>
      <c r="D68" s="89"/>
      <c r="E68" s="89"/>
      <c r="F68" s="89"/>
      <c r="G68" s="87">
        <f t="shared" ref="G68:G87" si="2">E68/40</f>
        <v>0</v>
      </c>
      <c r="H68" s="89"/>
      <c r="I68" s="88"/>
    </row>
    <row r="69" spans="1:9" x14ac:dyDescent="0.25">
      <c r="A69" s="89"/>
      <c r="B69" s="89"/>
      <c r="C69" s="89"/>
      <c r="D69" s="89"/>
      <c r="E69" s="89"/>
      <c r="F69" s="89"/>
      <c r="G69" s="87">
        <f t="shared" si="2"/>
        <v>0</v>
      </c>
      <c r="H69" s="89"/>
      <c r="I69" s="88"/>
    </row>
    <row r="70" spans="1:9" x14ac:dyDescent="0.25">
      <c r="A70" s="89"/>
      <c r="B70" s="89"/>
      <c r="C70" s="89"/>
      <c r="D70" s="89"/>
      <c r="E70" s="89"/>
      <c r="F70" s="89"/>
      <c r="G70" s="87">
        <f t="shared" si="2"/>
        <v>0</v>
      </c>
      <c r="H70" s="89"/>
      <c r="I70" s="88"/>
    </row>
    <row r="71" spans="1:9" x14ac:dyDescent="0.25">
      <c r="A71" s="89"/>
      <c r="B71" s="89"/>
      <c r="C71" s="89"/>
      <c r="D71" s="89"/>
      <c r="E71" s="89"/>
      <c r="F71" s="89"/>
      <c r="G71" s="87">
        <f t="shared" si="2"/>
        <v>0</v>
      </c>
      <c r="H71" s="89"/>
      <c r="I71" s="88"/>
    </row>
    <row r="72" spans="1:9" x14ac:dyDescent="0.25">
      <c r="A72" s="89"/>
      <c r="B72" s="89"/>
      <c r="C72" s="89"/>
      <c r="D72" s="89"/>
      <c r="E72" s="89"/>
      <c r="F72" s="89"/>
      <c r="G72" s="87">
        <f t="shared" si="2"/>
        <v>0</v>
      </c>
      <c r="H72" s="89"/>
      <c r="I72" s="88"/>
    </row>
    <row r="73" spans="1:9" x14ac:dyDescent="0.25">
      <c r="A73" s="89"/>
      <c r="B73" s="89"/>
      <c r="C73" s="89"/>
      <c r="D73" s="89"/>
      <c r="E73" s="89"/>
      <c r="F73" s="89"/>
      <c r="G73" s="87">
        <f t="shared" si="2"/>
        <v>0</v>
      </c>
      <c r="H73" s="89"/>
      <c r="I73" s="88"/>
    </row>
    <row r="74" spans="1:9" x14ac:dyDescent="0.25">
      <c r="A74" s="89"/>
      <c r="B74" s="89"/>
      <c r="C74" s="89"/>
      <c r="D74" s="89"/>
      <c r="E74" s="89"/>
      <c r="F74" s="89"/>
      <c r="G74" s="87">
        <f t="shared" si="2"/>
        <v>0</v>
      </c>
      <c r="H74" s="89"/>
      <c r="I74" s="88"/>
    </row>
    <row r="75" spans="1:9" x14ac:dyDescent="0.25">
      <c r="A75" s="89"/>
      <c r="B75" s="89"/>
      <c r="C75" s="89"/>
      <c r="D75" s="89"/>
      <c r="E75" s="89"/>
      <c r="F75" s="89"/>
      <c r="G75" s="87">
        <f t="shared" si="2"/>
        <v>0</v>
      </c>
      <c r="H75" s="89"/>
      <c r="I75" s="88"/>
    </row>
    <row r="76" spans="1:9" x14ac:dyDescent="0.25">
      <c r="A76" s="89"/>
      <c r="B76" s="89"/>
      <c r="C76" s="89"/>
      <c r="D76" s="89"/>
      <c r="E76" s="89"/>
      <c r="F76" s="89"/>
      <c r="G76" s="87">
        <f t="shared" si="2"/>
        <v>0</v>
      </c>
      <c r="H76" s="89"/>
      <c r="I76" s="88"/>
    </row>
    <row r="77" spans="1:9" x14ac:dyDescent="0.25">
      <c r="A77" s="89"/>
      <c r="B77" s="89"/>
      <c r="C77" s="89"/>
      <c r="D77" s="89"/>
      <c r="E77" s="89"/>
      <c r="F77" s="89"/>
      <c r="G77" s="87">
        <f t="shared" si="2"/>
        <v>0</v>
      </c>
      <c r="H77" s="89"/>
      <c r="I77" s="88"/>
    </row>
    <row r="78" spans="1:9" x14ac:dyDescent="0.25">
      <c r="A78" s="89"/>
      <c r="B78" s="89"/>
      <c r="C78" s="89"/>
      <c r="D78" s="89"/>
      <c r="E78" s="89"/>
      <c r="F78" s="89"/>
      <c r="G78" s="87">
        <f t="shared" si="2"/>
        <v>0</v>
      </c>
      <c r="H78" s="89"/>
      <c r="I78" s="88"/>
    </row>
    <row r="79" spans="1:9" x14ac:dyDescent="0.25">
      <c r="A79" s="89"/>
      <c r="B79" s="89"/>
      <c r="C79" s="89"/>
      <c r="D79" s="89"/>
      <c r="E79" s="89"/>
      <c r="F79" s="89"/>
      <c r="G79" s="87">
        <f t="shared" si="2"/>
        <v>0</v>
      </c>
      <c r="H79" s="89"/>
      <c r="I79" s="88"/>
    </row>
    <row r="80" spans="1:9" x14ac:dyDescent="0.25">
      <c r="A80" s="89"/>
      <c r="B80" s="89"/>
      <c r="C80" s="89"/>
      <c r="D80" s="89"/>
      <c r="E80" s="89"/>
      <c r="F80" s="89"/>
      <c r="G80" s="87">
        <f t="shared" si="2"/>
        <v>0</v>
      </c>
      <c r="H80" s="89"/>
      <c r="I80" s="88"/>
    </row>
    <row r="81" spans="1:9" x14ac:dyDescent="0.25">
      <c r="A81" s="89"/>
      <c r="B81" s="89"/>
      <c r="C81" s="89"/>
      <c r="D81" s="89"/>
      <c r="E81" s="89"/>
      <c r="F81" s="89"/>
      <c r="G81" s="87">
        <f t="shared" si="2"/>
        <v>0</v>
      </c>
      <c r="H81" s="89"/>
      <c r="I81" s="88"/>
    </row>
    <row r="82" spans="1:9" x14ac:dyDescent="0.25">
      <c r="A82" s="89"/>
      <c r="B82" s="89"/>
      <c r="C82" s="89"/>
      <c r="D82" s="89"/>
      <c r="E82" s="89"/>
      <c r="F82" s="89"/>
      <c r="G82" s="87">
        <f t="shared" si="2"/>
        <v>0</v>
      </c>
      <c r="H82" s="89"/>
      <c r="I82" s="88"/>
    </row>
    <row r="83" spans="1:9" x14ac:dyDescent="0.25">
      <c r="A83" s="89"/>
      <c r="B83" s="89"/>
      <c r="C83" s="89"/>
      <c r="D83" s="89"/>
      <c r="E83" s="89"/>
      <c r="F83" s="89"/>
      <c r="G83" s="87">
        <f t="shared" si="2"/>
        <v>0</v>
      </c>
      <c r="H83" s="89"/>
      <c r="I83" s="88"/>
    </row>
    <row r="84" spans="1:9" x14ac:dyDescent="0.25">
      <c r="A84" s="89"/>
      <c r="B84" s="89"/>
      <c r="C84" s="89"/>
      <c r="D84" s="89"/>
      <c r="E84" s="89"/>
      <c r="F84" s="89"/>
      <c r="G84" s="87">
        <f t="shared" si="2"/>
        <v>0</v>
      </c>
      <c r="H84" s="89"/>
      <c r="I84" s="88"/>
    </row>
    <row r="85" spans="1:9" x14ac:dyDescent="0.25">
      <c r="A85" s="89"/>
      <c r="B85" s="89"/>
      <c r="C85" s="89"/>
      <c r="D85" s="89"/>
      <c r="E85" s="89"/>
      <c r="F85" s="89"/>
      <c r="G85" s="87">
        <f t="shared" si="2"/>
        <v>0</v>
      </c>
      <c r="H85" s="89"/>
      <c r="I85" s="88"/>
    </row>
    <row r="86" spans="1:9" x14ac:dyDescent="0.25">
      <c r="A86" s="89"/>
      <c r="B86" s="89"/>
      <c r="C86" s="89"/>
      <c r="D86" s="89"/>
      <c r="E86" s="89"/>
      <c r="F86" s="89"/>
      <c r="G86" s="87">
        <f t="shared" si="2"/>
        <v>0</v>
      </c>
      <c r="H86" s="89"/>
      <c r="I86" s="88"/>
    </row>
    <row r="87" spans="1:9" x14ac:dyDescent="0.25">
      <c r="A87" s="89"/>
      <c r="B87" s="89"/>
      <c r="C87" s="89"/>
      <c r="D87" s="89"/>
      <c r="E87" s="89"/>
      <c r="F87" s="89"/>
      <c r="G87" s="87">
        <f t="shared" si="2"/>
        <v>0</v>
      </c>
      <c r="H87" s="89"/>
      <c r="I87" s="88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3" name="Button 3">
              <controlPr defaultSize="0" print="0" autoFill="0" autoPict="0" macro="[0]!salvarPlanilha_Clique">
                <anchor moveWithCells="1" sizeWithCells="1">
                  <from>
                    <xdr:col>7</xdr:col>
                    <xdr:colOff>171450</xdr:colOff>
                    <xdr:row>0</xdr:row>
                    <xdr:rowOff>561975</xdr:rowOff>
                  </from>
                  <to>
                    <xdr:col>8</xdr:col>
                    <xdr:colOff>552450</xdr:colOff>
                    <xdr:row>0</xdr:row>
                    <xdr:rowOff>933450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>
    <pageSetUpPr fitToPage="1"/>
  </sheetPr>
  <dimension ref="B1:J27"/>
  <sheetViews>
    <sheetView showGridLines="0" zoomScale="80" zoomScaleNormal="80" workbookViewId="0">
      <pane ySplit="5" topLeftCell="A6" activePane="bottomLeft" state="frozen"/>
      <selection pane="bottomLeft" activeCell="F24" sqref="F24"/>
    </sheetView>
  </sheetViews>
  <sheetFormatPr defaultColWidth="9.140625" defaultRowHeight="15" outlineLevelCol="1" x14ac:dyDescent="0.25"/>
  <cols>
    <col min="1" max="1" width="9.140625" style="34"/>
    <col min="2" max="2" width="13.85546875" style="34" bestFit="1" customWidth="1"/>
    <col min="3" max="3" width="34.5703125" style="34" bestFit="1" customWidth="1"/>
    <col min="4" max="4" width="29.140625" style="34" customWidth="1"/>
    <col min="5" max="5" width="18" style="34" customWidth="1"/>
    <col min="6" max="6" width="15" style="34" customWidth="1"/>
    <col min="7" max="7" width="15.85546875" style="34" hidden="1" customWidth="1" outlineLevel="1"/>
    <col min="8" max="8" width="14.85546875" style="34" customWidth="1" collapsed="1"/>
    <col min="9" max="9" width="42.28515625" style="34" customWidth="1"/>
    <col min="10" max="16384" width="9.140625" style="34"/>
  </cols>
  <sheetData>
    <row r="1" spans="2:10" ht="15" customHeight="1" x14ac:dyDescent="0.25">
      <c r="B1" s="100" t="s">
        <v>91</v>
      </c>
      <c r="C1" s="100"/>
      <c r="D1" s="100"/>
      <c r="E1" s="33"/>
      <c r="F1" s="33"/>
      <c r="G1" s="33"/>
      <c r="H1" s="33"/>
      <c r="I1" s="33"/>
    </row>
    <row r="2" spans="2:10" ht="15" customHeight="1" x14ac:dyDescent="0.25">
      <c r="B2" s="100"/>
      <c r="C2" s="100"/>
      <c r="D2" s="100"/>
      <c r="E2"/>
      <c r="F2"/>
      <c r="G2" s="46"/>
      <c r="H2"/>
      <c r="I2"/>
    </row>
    <row r="3" spans="2:10" ht="23.25" customHeight="1" x14ac:dyDescent="0.25">
      <c r="B3" s="100"/>
      <c r="C3" s="100"/>
      <c r="D3" s="100"/>
      <c r="E3"/>
      <c r="F3"/>
      <c r="G3" s="46"/>
      <c r="H3"/>
      <c r="I3"/>
    </row>
    <row r="4" spans="2:10" ht="15" customHeight="1" x14ac:dyDescent="0.25">
      <c r="B4" s="101"/>
      <c r="C4" s="101"/>
      <c r="D4" s="101"/>
      <c r="E4" s="35"/>
      <c r="F4" s="35"/>
      <c r="G4" s="35"/>
      <c r="H4" s="35"/>
      <c r="I4" s="35"/>
    </row>
    <row r="5" spans="2:10" ht="20.25" customHeight="1" x14ac:dyDescent="0.25">
      <c r="B5" s="36" t="s">
        <v>5</v>
      </c>
      <c r="C5" s="36" t="s">
        <v>87</v>
      </c>
      <c r="D5" s="36" t="s">
        <v>92</v>
      </c>
      <c r="E5" s="36" t="s">
        <v>93</v>
      </c>
      <c r="F5" s="36" t="s">
        <v>94</v>
      </c>
      <c r="G5" s="36" t="s">
        <v>95</v>
      </c>
      <c r="H5" s="36" t="s">
        <v>96</v>
      </c>
      <c r="I5" s="36" t="s">
        <v>97</v>
      </c>
      <c r="J5" s="34" t="s">
        <v>98</v>
      </c>
    </row>
    <row r="6" spans="2:10" ht="20.25" customHeight="1" x14ac:dyDescent="0.25">
      <c r="B6" s="41" t="s">
        <v>99</v>
      </c>
      <c r="C6" s="62" t="s">
        <v>100</v>
      </c>
      <c r="D6" s="2">
        <f>IFERROR(VLOOKUP(C6,'Base de Dados'!$L$2:$M$31,2,FALSE),"")</f>
        <v>50000264</v>
      </c>
      <c r="E6" s="63"/>
      <c r="F6" s="62"/>
      <c r="G6" s="37"/>
      <c r="H6" s="38"/>
      <c r="I6" s="37"/>
    </row>
    <row r="7" spans="2:10" ht="20.25" customHeight="1" x14ac:dyDescent="0.25">
      <c r="B7" s="41" t="s">
        <v>99</v>
      </c>
      <c r="C7" s="62"/>
      <c r="D7" s="2" t="str">
        <f>IFERROR(VLOOKUP(C7,'Base de Dados'!$L$2:$M$31,2,FALSE),"")</f>
        <v/>
      </c>
      <c r="E7" s="63"/>
      <c r="F7" s="62"/>
      <c r="G7" s="37"/>
      <c r="H7" s="38"/>
      <c r="I7" s="37"/>
    </row>
    <row r="8" spans="2:10" ht="20.25" customHeight="1" x14ac:dyDescent="0.25">
      <c r="B8" s="41" t="s">
        <v>101</v>
      </c>
      <c r="C8" s="62" t="s">
        <v>100</v>
      </c>
      <c r="D8" s="2">
        <f>IFERROR(VLOOKUP(C8,'Base de Dados'!$L$2:$M$31,2,FALSE),"")</f>
        <v>50000264</v>
      </c>
      <c r="E8" s="63"/>
      <c r="F8" s="62"/>
      <c r="G8" s="37"/>
      <c r="H8" s="38"/>
      <c r="I8" s="37"/>
    </row>
    <row r="9" spans="2:10" ht="20.25" customHeight="1" x14ac:dyDescent="0.25">
      <c r="B9" s="41" t="s">
        <v>101</v>
      </c>
      <c r="C9" s="62"/>
      <c r="D9" s="2" t="str">
        <f>IFERROR(VLOOKUP(C9,'Base de Dados'!$L$2:$M$31,2,FALSE),"")</f>
        <v/>
      </c>
      <c r="E9" s="63"/>
      <c r="F9" s="62"/>
      <c r="G9" s="37"/>
      <c r="H9" s="38"/>
      <c r="I9" s="37"/>
    </row>
    <row r="10" spans="2:10" ht="20.25" customHeight="1" x14ac:dyDescent="0.25">
      <c r="B10" s="41" t="s">
        <v>102</v>
      </c>
      <c r="C10" s="62" t="s">
        <v>100</v>
      </c>
      <c r="D10" s="2">
        <f>IFERROR(VLOOKUP(C10,'Base de Dados'!$L$2:$M$31,2,FALSE),"")</f>
        <v>50000264</v>
      </c>
      <c r="E10" s="63"/>
      <c r="F10" s="62"/>
      <c r="G10" s="37"/>
      <c r="H10" s="38"/>
      <c r="I10" s="37"/>
    </row>
    <row r="11" spans="2:10" ht="20.25" customHeight="1" x14ac:dyDescent="0.25">
      <c r="B11" s="41" t="s">
        <v>102</v>
      </c>
      <c r="C11" s="62"/>
      <c r="D11" s="2" t="str">
        <f>IFERROR(VLOOKUP(C11,'Base de Dados'!$L$2:$M$31,2,FALSE),"")</f>
        <v/>
      </c>
      <c r="E11" s="63"/>
      <c r="F11" s="62"/>
      <c r="G11" s="37"/>
      <c r="H11" s="38"/>
      <c r="I11" s="37"/>
    </row>
    <row r="12" spans="2:10" ht="20.25" customHeight="1" x14ac:dyDescent="0.25">
      <c r="B12" s="41" t="s">
        <v>103</v>
      </c>
      <c r="C12" s="62" t="s">
        <v>104</v>
      </c>
      <c r="D12" s="2">
        <f>IFERROR(VLOOKUP(C12,'Base de Dados'!$L$2:$M$31,2,FALSE),"")</f>
        <v>50000390</v>
      </c>
      <c r="E12" s="63"/>
      <c r="F12" s="62"/>
      <c r="G12" s="37"/>
      <c r="H12" s="38"/>
      <c r="I12" s="37"/>
    </row>
    <row r="13" spans="2:10" ht="20.25" customHeight="1" x14ac:dyDescent="0.25">
      <c r="B13" s="41" t="s">
        <v>103</v>
      </c>
      <c r="C13" s="62"/>
      <c r="D13" s="2" t="str">
        <f>IFERROR(VLOOKUP(C13,'Base de Dados'!$L$2:$M$31,2,FALSE),"")</f>
        <v/>
      </c>
      <c r="E13" s="63"/>
      <c r="F13" s="62"/>
      <c r="G13" s="37"/>
      <c r="H13" s="38"/>
      <c r="I13" s="37"/>
    </row>
    <row r="14" spans="2:10" ht="20.25" customHeight="1" x14ac:dyDescent="0.25">
      <c r="B14" s="41" t="s">
        <v>105</v>
      </c>
      <c r="C14" s="62" t="s">
        <v>106</v>
      </c>
      <c r="D14" s="2">
        <f>IFERROR(VLOOKUP(C14,'Base de Dados'!$L$2:$M$31,2,FALSE),"")</f>
        <v>50000178</v>
      </c>
      <c r="E14" s="63"/>
      <c r="F14" s="62"/>
      <c r="G14" s="37"/>
      <c r="H14" s="38"/>
      <c r="I14" s="37"/>
    </row>
    <row r="15" spans="2:10" ht="20.25" customHeight="1" x14ac:dyDescent="0.25">
      <c r="B15" s="41" t="s">
        <v>105</v>
      </c>
      <c r="C15" s="62"/>
      <c r="D15" s="2" t="str">
        <f>IFERROR(VLOOKUP(C15,'Base de Dados'!$L$2:$M$31,2,FALSE),"")</f>
        <v/>
      </c>
      <c r="E15" s="63"/>
      <c r="F15" s="62"/>
      <c r="G15" s="37"/>
      <c r="H15" s="38"/>
      <c r="I15" s="37"/>
    </row>
    <row r="16" spans="2:10" ht="20.25" customHeight="1" x14ac:dyDescent="0.25">
      <c r="B16" s="41" t="s">
        <v>107</v>
      </c>
      <c r="C16" s="62" t="s">
        <v>104</v>
      </c>
      <c r="D16" s="2">
        <f>IFERROR(VLOOKUP(C16,'Base de Dados'!$L$2:$M$31,2,FALSE),"")</f>
        <v>50000390</v>
      </c>
      <c r="E16" s="63"/>
      <c r="F16" s="62"/>
      <c r="G16" s="37"/>
      <c r="H16" s="38"/>
      <c r="I16" s="37"/>
    </row>
    <row r="17" spans="2:9" ht="20.25" customHeight="1" x14ac:dyDescent="0.25">
      <c r="B17" s="41" t="s">
        <v>107</v>
      </c>
      <c r="C17" s="62"/>
      <c r="D17" s="2" t="str">
        <f>IFERROR(VLOOKUP(C17,'Base de Dados'!$L$2:$M$31,2,FALSE),"")</f>
        <v/>
      </c>
      <c r="E17" s="63"/>
      <c r="F17" s="62"/>
      <c r="G17" s="37"/>
      <c r="H17" s="38"/>
      <c r="I17" s="37"/>
    </row>
    <row r="18" spans="2:9" ht="20.25" customHeight="1" x14ac:dyDescent="0.25">
      <c r="B18" s="43" t="s">
        <v>108</v>
      </c>
      <c r="C18" s="64" t="s">
        <v>109</v>
      </c>
      <c r="D18" s="2">
        <f>IFERROR(VLOOKUP(C18,'Base de Dados'!$L$2:$M$31,2,FALSE),"")</f>
        <v>50000204</v>
      </c>
      <c r="E18" s="63"/>
      <c r="F18" s="62">
        <v>150</v>
      </c>
      <c r="G18" s="37"/>
      <c r="H18" s="38"/>
      <c r="I18" s="37"/>
    </row>
    <row r="19" spans="2:9" ht="20.25" customHeight="1" x14ac:dyDescent="0.25">
      <c r="B19" s="43" t="s">
        <v>108</v>
      </c>
      <c r="C19" s="62"/>
      <c r="D19" s="2" t="str">
        <f>IFERROR(VLOOKUP(C19,'Base de Dados'!$L$2:$M$31,2,FALSE),"")</f>
        <v/>
      </c>
      <c r="E19" s="63"/>
      <c r="F19" s="62"/>
      <c r="G19" s="37"/>
      <c r="H19" s="38"/>
      <c r="I19" s="37"/>
    </row>
    <row r="20" spans="2:9" ht="20.25" customHeight="1" x14ac:dyDescent="0.25">
      <c r="B20" s="43" t="s">
        <v>110</v>
      </c>
      <c r="C20" s="62" t="s">
        <v>109</v>
      </c>
      <c r="D20" s="2">
        <f>IFERROR(VLOOKUP(C20,'Base de Dados'!$L$2:$M$31,2,FALSE),"")</f>
        <v>50000204</v>
      </c>
      <c r="E20" s="63"/>
      <c r="F20" s="62">
        <v>150</v>
      </c>
      <c r="G20" s="37"/>
      <c r="H20" s="38"/>
      <c r="I20" s="37"/>
    </row>
    <row r="21" spans="2:9" ht="20.25" customHeight="1" x14ac:dyDescent="0.25">
      <c r="B21" s="43" t="s">
        <v>110</v>
      </c>
      <c r="C21" s="62"/>
      <c r="D21" s="2" t="str">
        <f>IFERROR(VLOOKUP(C21,'Base de Dados'!$L$2:$M$31,2,FALSE),"")</f>
        <v/>
      </c>
      <c r="E21" s="63"/>
      <c r="F21" s="62"/>
      <c r="G21" s="37"/>
      <c r="H21" s="38"/>
      <c r="I21" s="37"/>
    </row>
    <row r="22" spans="2:9" ht="20.25" customHeight="1" x14ac:dyDescent="0.25">
      <c r="B22" s="43" t="s">
        <v>111</v>
      </c>
      <c r="C22" s="62" t="s">
        <v>112</v>
      </c>
      <c r="D22" s="2">
        <f>IFERROR(VLOOKUP(C22,'Base de Dados'!$L$2:$M$31,2,FALSE),"")</f>
        <v>50000177</v>
      </c>
      <c r="E22" s="63"/>
      <c r="F22" s="62">
        <v>270</v>
      </c>
      <c r="G22" s="37"/>
      <c r="H22" s="38"/>
      <c r="I22" s="37"/>
    </row>
    <row r="23" spans="2:9" ht="20.25" customHeight="1" x14ac:dyDescent="0.25">
      <c r="B23" s="43" t="s">
        <v>111</v>
      </c>
      <c r="C23" s="62" t="s">
        <v>112</v>
      </c>
      <c r="D23" s="2">
        <f>IFERROR(VLOOKUP(C23,'Base de Dados'!$L$2:$M$31,2,FALSE),"")</f>
        <v>50000177</v>
      </c>
      <c r="E23" s="63"/>
      <c r="F23" s="62">
        <v>270</v>
      </c>
      <c r="G23" s="37"/>
      <c r="H23" s="38"/>
      <c r="I23" s="37"/>
    </row>
    <row r="24" spans="2:9" ht="20.25" customHeight="1" x14ac:dyDescent="0.25">
      <c r="B24" s="43" t="s">
        <v>113</v>
      </c>
      <c r="C24" s="62"/>
      <c r="D24" s="2" t="str">
        <f>IFERROR(VLOOKUP(C24,'Base de Dados'!$L$2:$M$31,2,FALSE),"")</f>
        <v/>
      </c>
      <c r="E24" s="63"/>
      <c r="F24" s="62"/>
      <c r="G24" s="37"/>
      <c r="H24" s="38"/>
      <c r="I24" s="37"/>
    </row>
    <row r="25" spans="2:9" ht="20.25" customHeight="1" x14ac:dyDescent="0.25">
      <c r="B25" s="43" t="s">
        <v>113</v>
      </c>
      <c r="C25" s="62"/>
      <c r="D25" s="2" t="str">
        <f>IFERROR(VLOOKUP(C25,'Base de Dados'!$L$2:$M$31,2,FALSE),"")</f>
        <v/>
      </c>
      <c r="E25" s="63"/>
      <c r="F25" s="62"/>
      <c r="G25" s="37"/>
      <c r="H25" s="38"/>
      <c r="I25" s="37"/>
    </row>
    <row r="26" spans="2:9" ht="20.25" customHeight="1" x14ac:dyDescent="0.25">
      <c r="B26" s="102" t="s">
        <v>114</v>
      </c>
      <c r="C26" s="102"/>
      <c r="D26" s="102"/>
      <c r="E26" s="102"/>
      <c r="F26" s="39">
        <f>SUBTOTAL(9,F6:F25)</f>
        <v>840</v>
      </c>
      <c r="G26" s="39"/>
      <c r="H26" s="47"/>
    </row>
    <row r="27" spans="2:9" ht="19.5" customHeight="1" x14ac:dyDescent="0.25"/>
  </sheetData>
  <autoFilter ref="B5:J25" xr:uid="{00000000-0009-0000-0000-000003000000}"/>
  <mergeCells count="2">
    <mergeCell ref="B1:D4"/>
    <mergeCell ref="B26:E26"/>
  </mergeCells>
  <pageMargins left="0.511811024" right="0.511811024" top="0.78740157499999996" bottom="0.78740157499999996" header="0.31496062000000002" footer="0.31496062000000002"/>
  <pageSetup paperSize="9" scale="73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0531819F-F4EB-47AD-9AC2-3066C64BFCAD}">
            <xm:f>'Base de Dados'!$G$3</xm:f>
            <x14:dxf>
              <fill>
                <patternFill>
                  <bgColor rgb="FFFF0000"/>
                </patternFill>
              </fill>
            </x14:dxf>
          </x14:cfRule>
          <x14:cfRule type="cellIs" priority="2" operator="equal" id="{A01D58A9-5CF8-4FEC-BCAA-B19F8C08E37C}">
            <xm:f>'Base de Dados'!$G$2</xm:f>
            <x14:dxf>
              <fill>
                <patternFill>
                  <bgColor rgb="FF00B050"/>
                </patternFill>
              </fill>
            </x14:dxf>
          </x14:cfRule>
          <xm:sqref>H6:H25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0000000}">
          <x14:formula1>
            <xm:f>'Base de Dados'!$G$2:$G$5</xm:f>
          </x14:formula1>
          <xm:sqref>H6:H25</xm:sqref>
        </x14:dataValidation>
        <x14:dataValidation type="list" allowBlank="1" showInputMessage="1" showErrorMessage="1" xr:uid="{00000000-0002-0000-0300-000001000000}">
          <x14:formula1>
            <xm:f>'Base de Dados'!$L$2:$L$34</xm:f>
          </x14:formula1>
          <xm:sqref>C6:C25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/>
  <dimension ref="B1:H25"/>
  <sheetViews>
    <sheetView showGridLines="0" workbookViewId="0">
      <selection activeCell="D22" sqref="D22"/>
    </sheetView>
  </sheetViews>
  <sheetFormatPr defaultRowHeight="15" x14ac:dyDescent="0.25"/>
  <cols>
    <col min="2" max="2" width="42.7109375" bestFit="1" customWidth="1"/>
    <col min="3" max="3" width="9" bestFit="1" customWidth="1"/>
    <col min="4" max="5" width="10.7109375" customWidth="1"/>
    <col min="6" max="6" width="29" customWidth="1"/>
    <col min="7" max="7" width="16" customWidth="1"/>
  </cols>
  <sheetData>
    <row r="1" spans="2:8" x14ac:dyDescent="0.25">
      <c r="B1" s="103">
        <v>44751</v>
      </c>
      <c r="C1" s="104"/>
      <c r="D1" s="104"/>
      <c r="E1" s="104"/>
      <c r="F1" s="104"/>
    </row>
    <row r="2" spans="2:8" ht="45" x14ac:dyDescent="0.25">
      <c r="B2" s="65" t="s">
        <v>115</v>
      </c>
      <c r="C2" s="65" t="s">
        <v>116</v>
      </c>
      <c r="D2" s="65" t="s">
        <v>117</v>
      </c>
      <c r="E2" s="65" t="s">
        <v>118</v>
      </c>
      <c r="F2" s="66" t="s">
        <v>119</v>
      </c>
    </row>
    <row r="3" spans="2:8" x14ac:dyDescent="0.25">
      <c r="B3" s="53" t="s">
        <v>109</v>
      </c>
      <c r="C3" s="37">
        <v>50000204</v>
      </c>
      <c r="D3" s="38">
        <v>2532</v>
      </c>
      <c r="E3" s="38"/>
      <c r="F3" s="67"/>
    </row>
    <row r="4" spans="2:8" x14ac:dyDescent="0.25">
      <c r="B4" s="53" t="s">
        <v>112</v>
      </c>
      <c r="C4" s="37">
        <v>50000177</v>
      </c>
      <c r="D4" s="38">
        <v>418</v>
      </c>
      <c r="E4" s="38"/>
      <c r="F4" s="67"/>
    </row>
    <row r="5" spans="2:8" x14ac:dyDescent="0.25">
      <c r="B5" s="53" t="s">
        <v>106</v>
      </c>
      <c r="C5" s="37">
        <v>50000178</v>
      </c>
      <c r="D5" s="38">
        <v>10950</v>
      </c>
      <c r="E5" s="38"/>
      <c r="F5" s="67"/>
    </row>
    <row r="6" spans="2:8" x14ac:dyDescent="0.25">
      <c r="B6" s="53" t="s">
        <v>100</v>
      </c>
      <c r="C6" s="52">
        <v>50000264</v>
      </c>
      <c r="D6" s="38">
        <f>62399+4000+12000+6000+5250+6000+3200</f>
        <v>98849</v>
      </c>
      <c r="E6" s="38"/>
      <c r="F6" s="67"/>
      <c r="H6" s="31"/>
    </row>
    <row r="7" spans="2:8" x14ac:dyDescent="0.25">
      <c r="B7" s="53" t="s">
        <v>104</v>
      </c>
      <c r="C7" s="37">
        <v>50000390</v>
      </c>
      <c r="D7" s="38">
        <v>7440</v>
      </c>
      <c r="E7" s="38"/>
      <c r="F7" s="67"/>
    </row>
    <row r="8" spans="2:8" x14ac:dyDescent="0.25">
      <c r="B8" s="53" t="s">
        <v>120</v>
      </c>
      <c r="C8" s="37">
        <v>50000333</v>
      </c>
      <c r="D8" s="38">
        <v>3594</v>
      </c>
      <c r="E8" s="38"/>
      <c r="F8" s="67"/>
    </row>
    <row r="9" spans="2:8" x14ac:dyDescent="0.25">
      <c r="B9" s="53" t="s">
        <v>121</v>
      </c>
      <c r="C9" s="37">
        <v>50000450</v>
      </c>
      <c r="D9" s="38">
        <v>694</v>
      </c>
      <c r="E9" s="38"/>
      <c r="F9" s="67"/>
    </row>
    <row r="10" spans="2:8" x14ac:dyDescent="0.25">
      <c r="B10" s="53" t="s">
        <v>122</v>
      </c>
      <c r="C10" s="37">
        <v>40000100</v>
      </c>
      <c r="D10" s="38">
        <v>225</v>
      </c>
      <c r="E10" s="38"/>
      <c r="F10" s="67"/>
    </row>
    <row r="11" spans="2:8" x14ac:dyDescent="0.25">
      <c r="B11" s="53" t="s">
        <v>123</v>
      </c>
      <c r="C11" s="37">
        <v>50000281</v>
      </c>
      <c r="D11" s="38">
        <v>24000</v>
      </c>
      <c r="E11" s="38"/>
      <c r="F11" s="67"/>
    </row>
    <row r="12" spans="2:8" x14ac:dyDescent="0.25">
      <c r="B12" s="53" t="s">
        <v>124</v>
      </c>
      <c r="C12" s="37">
        <v>60000055</v>
      </c>
      <c r="D12" s="38">
        <v>6</v>
      </c>
      <c r="E12" s="38"/>
      <c r="F12" s="67"/>
    </row>
    <row r="14" spans="2:8" x14ac:dyDescent="0.25">
      <c r="B14" s="103">
        <v>44779</v>
      </c>
      <c r="C14" s="103"/>
      <c r="D14" s="103"/>
      <c r="E14" s="103"/>
      <c r="F14" s="103"/>
    </row>
    <row r="15" spans="2:8" ht="37.5" customHeight="1" x14ac:dyDescent="0.25">
      <c r="B15" s="65" t="s">
        <v>115</v>
      </c>
      <c r="C15" s="65" t="s">
        <v>116</v>
      </c>
      <c r="D15" s="65" t="s">
        <v>117</v>
      </c>
      <c r="E15" s="65" t="s">
        <v>118</v>
      </c>
      <c r="F15" s="66" t="s">
        <v>119</v>
      </c>
    </row>
    <row r="16" spans="2:8" x14ac:dyDescent="0.25">
      <c r="B16" s="53" t="s">
        <v>109</v>
      </c>
      <c r="C16" s="37">
        <v>50000204</v>
      </c>
      <c r="D16" s="38">
        <v>1095</v>
      </c>
      <c r="E16" s="38"/>
      <c r="F16" s="68">
        <f>D3-D16</f>
        <v>1437</v>
      </c>
    </row>
    <row r="17" spans="2:6" x14ac:dyDescent="0.25">
      <c r="B17" s="53" t="s">
        <v>112</v>
      </c>
      <c r="C17" s="37">
        <v>50000177</v>
      </c>
      <c r="D17" s="38">
        <v>1080</v>
      </c>
      <c r="E17" s="38"/>
      <c r="F17" s="68">
        <f t="shared" ref="F17:F25" si="0">D4-D17</f>
        <v>-662</v>
      </c>
    </row>
    <row r="18" spans="2:6" x14ac:dyDescent="0.25">
      <c r="B18" s="53" t="s">
        <v>106</v>
      </c>
      <c r="C18" s="37">
        <v>50000178</v>
      </c>
      <c r="D18" s="38">
        <v>10950</v>
      </c>
      <c r="E18" s="38"/>
      <c r="F18" s="68">
        <f t="shared" si="0"/>
        <v>0</v>
      </c>
    </row>
    <row r="19" spans="2:6" x14ac:dyDescent="0.25">
      <c r="B19" s="53" t="s">
        <v>100</v>
      </c>
      <c r="C19" s="52">
        <v>50000264</v>
      </c>
      <c r="D19" s="38">
        <f>8399+42000+5250+24000+5320</f>
        <v>84969</v>
      </c>
      <c r="E19" s="38"/>
      <c r="F19" s="68">
        <f t="shared" si="0"/>
        <v>13880</v>
      </c>
    </row>
    <row r="20" spans="2:6" x14ac:dyDescent="0.25">
      <c r="B20" s="53" t="s">
        <v>104</v>
      </c>
      <c r="C20" s="37">
        <v>50000390</v>
      </c>
      <c r="D20" s="38">
        <v>7440</v>
      </c>
      <c r="E20" s="38"/>
      <c r="F20" s="68">
        <f t="shared" si="0"/>
        <v>0</v>
      </c>
    </row>
    <row r="21" spans="2:6" x14ac:dyDescent="0.25">
      <c r="B21" s="53" t="s">
        <v>120</v>
      </c>
      <c r="C21" s="37">
        <v>50000333</v>
      </c>
      <c r="D21" s="38">
        <v>3594</v>
      </c>
      <c r="E21" s="38"/>
      <c r="F21" s="68">
        <f t="shared" si="0"/>
        <v>0</v>
      </c>
    </row>
    <row r="22" spans="2:6" x14ac:dyDescent="0.25">
      <c r="B22" s="53" t="s">
        <v>121</v>
      </c>
      <c r="C22" s="37">
        <v>50000450</v>
      </c>
      <c r="D22" s="38">
        <v>571</v>
      </c>
      <c r="E22" s="38"/>
      <c r="F22" s="68">
        <f>D9-D22</f>
        <v>123</v>
      </c>
    </row>
    <row r="23" spans="2:6" x14ac:dyDescent="0.25">
      <c r="B23" s="53" t="s">
        <v>122</v>
      </c>
      <c r="C23" s="37">
        <v>40000100</v>
      </c>
      <c r="D23" s="38">
        <v>400</v>
      </c>
      <c r="E23" s="38">
        <v>400</v>
      </c>
      <c r="F23" s="68">
        <f>D23-50</f>
        <v>350</v>
      </c>
    </row>
    <row r="24" spans="2:6" x14ac:dyDescent="0.25">
      <c r="B24" s="53" t="s">
        <v>123</v>
      </c>
      <c r="C24" s="37">
        <v>50000281</v>
      </c>
      <c r="D24" s="38">
        <v>0</v>
      </c>
      <c r="E24" s="38"/>
      <c r="F24" s="68">
        <f t="shared" si="0"/>
        <v>24000</v>
      </c>
    </row>
    <row r="25" spans="2:6" x14ac:dyDescent="0.25">
      <c r="B25" s="53" t="s">
        <v>124</v>
      </c>
      <c r="C25" s="37">
        <v>60000055</v>
      </c>
      <c r="D25" s="38">
        <v>0</v>
      </c>
      <c r="E25" s="38"/>
      <c r="F25" s="68">
        <f t="shared" si="0"/>
        <v>6</v>
      </c>
    </row>
  </sheetData>
  <mergeCells count="2">
    <mergeCell ref="B14:F14"/>
    <mergeCell ref="B1:F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 filterMode="1"/>
  <dimension ref="A1:K175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125" sqref="C125"/>
    </sheetView>
  </sheetViews>
  <sheetFormatPr defaultColWidth="9.140625" defaultRowHeight="15" outlineLevelCol="1" x14ac:dyDescent="0.25"/>
  <cols>
    <col min="1" max="1" width="10.7109375" style="69" bestFit="1" customWidth="1"/>
    <col min="2" max="2" width="9.140625" style="34"/>
    <col min="3" max="3" width="42.7109375" style="60" bestFit="1" customWidth="1"/>
    <col min="4" max="4" width="14.85546875" style="55" customWidth="1"/>
    <col min="5" max="5" width="23.85546875" style="56" bestFit="1" customWidth="1"/>
    <col min="6" max="6" width="23.85546875" style="56" hidden="1" customWidth="1" outlineLevel="1"/>
    <col min="7" max="7" width="17.85546875" style="56" customWidth="1" collapsed="1"/>
    <col min="8" max="8" width="20.28515625" style="56" bestFit="1" customWidth="1"/>
    <col min="9" max="9" width="15.140625" style="34" customWidth="1"/>
    <col min="10" max="10" width="16.7109375" style="34" customWidth="1" outlineLevel="1"/>
    <col min="11" max="11" width="15.42578125" style="34" customWidth="1" outlineLevel="1"/>
    <col min="12" max="16384" width="9.140625" style="34"/>
  </cols>
  <sheetData>
    <row r="1" spans="1:11" ht="30" customHeight="1" x14ac:dyDescent="0.25">
      <c r="B1" s="108" t="s">
        <v>91</v>
      </c>
      <c r="C1" s="108"/>
      <c r="D1" s="108"/>
      <c r="E1" s="108"/>
      <c r="F1" s="108"/>
      <c r="G1" s="108"/>
      <c r="H1" s="108"/>
    </row>
    <row r="2" spans="1:11" ht="21" customHeight="1" x14ac:dyDescent="0.25">
      <c r="B2" s="108"/>
      <c r="C2" s="108"/>
      <c r="D2" s="108"/>
      <c r="E2" s="108"/>
      <c r="F2" s="108"/>
      <c r="G2" s="108"/>
      <c r="H2" s="108"/>
      <c r="J2" s="105" t="s">
        <v>125</v>
      </c>
      <c r="K2" s="106"/>
    </row>
    <row r="3" spans="1:11" x14ac:dyDescent="0.25">
      <c r="A3" s="70" t="s">
        <v>126</v>
      </c>
      <c r="B3" s="36" t="s">
        <v>127</v>
      </c>
      <c r="C3" s="49" t="s">
        <v>128</v>
      </c>
      <c r="D3" s="36" t="s">
        <v>92</v>
      </c>
      <c r="E3" s="39" t="s">
        <v>129</v>
      </c>
      <c r="F3" s="39" t="s">
        <v>95</v>
      </c>
      <c r="G3" s="39" t="s">
        <v>130</v>
      </c>
      <c r="H3" s="39" t="s">
        <v>131</v>
      </c>
      <c r="I3" s="39" t="s">
        <v>132</v>
      </c>
      <c r="J3" s="39" t="s">
        <v>133</v>
      </c>
      <c r="K3" s="39" t="s">
        <v>134</v>
      </c>
    </row>
    <row r="4" spans="1:11" x14ac:dyDescent="0.25">
      <c r="A4" s="107"/>
      <c r="B4" s="50">
        <v>44562</v>
      </c>
      <c r="C4" s="51" t="s">
        <v>109</v>
      </c>
      <c r="D4" s="37">
        <v>50000204</v>
      </c>
      <c r="E4" s="38">
        <v>3059</v>
      </c>
      <c r="F4" s="38"/>
      <c r="G4" s="38"/>
      <c r="H4" s="38">
        <f>E4-E17+G4</f>
        <v>0</v>
      </c>
      <c r="I4" s="61" t="e">
        <f>E4/H4</f>
        <v>#DIV/0!</v>
      </c>
      <c r="J4" s="71"/>
      <c r="K4" s="71"/>
    </row>
    <row r="5" spans="1:11" x14ac:dyDescent="0.25">
      <c r="A5" s="107"/>
      <c r="B5" s="50">
        <v>44562</v>
      </c>
      <c r="C5" s="51" t="s">
        <v>112</v>
      </c>
      <c r="D5" s="37">
        <v>50000177</v>
      </c>
      <c r="E5" s="38">
        <v>639</v>
      </c>
      <c r="F5" s="38"/>
      <c r="G5" s="38"/>
      <c r="H5" s="38">
        <f t="shared" ref="H5:H68" si="0">E5-E18+G5</f>
        <v>0</v>
      </c>
      <c r="I5" s="61" t="e">
        <f t="shared" ref="I5:I68" si="1">E5/H5</f>
        <v>#DIV/0!</v>
      </c>
      <c r="J5" s="71"/>
      <c r="K5" s="71"/>
    </row>
    <row r="6" spans="1:11" x14ac:dyDescent="0.25">
      <c r="A6" s="107"/>
      <c r="B6" s="50">
        <v>44562</v>
      </c>
      <c r="C6" s="51" t="s">
        <v>106</v>
      </c>
      <c r="D6" s="37">
        <v>50000178</v>
      </c>
      <c r="E6" s="38">
        <v>10950</v>
      </c>
      <c r="F6" s="38"/>
      <c r="G6" s="38"/>
      <c r="H6" s="38">
        <f t="shared" si="0"/>
        <v>0</v>
      </c>
      <c r="I6" s="61" t="e">
        <f t="shared" si="1"/>
        <v>#DIV/0!</v>
      </c>
      <c r="J6" s="71"/>
      <c r="K6" s="71"/>
    </row>
    <row r="7" spans="1:11" x14ac:dyDescent="0.25">
      <c r="A7" s="107"/>
      <c r="B7" s="50">
        <v>44562</v>
      </c>
      <c r="C7" s="51" t="s">
        <v>100</v>
      </c>
      <c r="D7" s="52">
        <v>50000264</v>
      </c>
      <c r="E7" s="38">
        <v>71539</v>
      </c>
      <c r="F7" s="38"/>
      <c r="G7" s="38"/>
      <c r="H7" s="38">
        <f t="shared" si="0"/>
        <v>0</v>
      </c>
      <c r="I7" s="61" t="e">
        <f t="shared" si="1"/>
        <v>#DIV/0!</v>
      </c>
      <c r="J7" s="71"/>
      <c r="K7" s="71"/>
    </row>
    <row r="8" spans="1:11" x14ac:dyDescent="0.25">
      <c r="A8" s="107"/>
      <c r="B8" s="50">
        <v>44562</v>
      </c>
      <c r="C8" s="51" t="s">
        <v>104</v>
      </c>
      <c r="D8" s="37">
        <v>50000390</v>
      </c>
      <c r="E8" s="38">
        <v>7440</v>
      </c>
      <c r="F8" s="38"/>
      <c r="G8" s="38"/>
      <c r="H8" s="38">
        <f t="shared" si="0"/>
        <v>0</v>
      </c>
      <c r="I8" s="61" t="e">
        <f t="shared" si="1"/>
        <v>#DIV/0!</v>
      </c>
      <c r="J8" s="71"/>
      <c r="K8" s="71"/>
    </row>
    <row r="9" spans="1:11" x14ac:dyDescent="0.25">
      <c r="A9" s="107"/>
      <c r="B9" s="50">
        <v>44562</v>
      </c>
      <c r="C9" s="51" t="s">
        <v>120</v>
      </c>
      <c r="D9" s="37">
        <v>50000333</v>
      </c>
      <c r="E9" s="38">
        <v>3594</v>
      </c>
      <c r="F9" s="38"/>
      <c r="G9" s="38"/>
      <c r="H9" s="38">
        <f t="shared" si="0"/>
        <v>0</v>
      </c>
      <c r="I9" s="61" t="e">
        <f t="shared" si="1"/>
        <v>#DIV/0!</v>
      </c>
      <c r="J9" s="71"/>
      <c r="K9" s="71"/>
    </row>
    <row r="10" spans="1:11" x14ac:dyDescent="0.25">
      <c r="A10" s="107"/>
      <c r="B10" s="50">
        <v>44562</v>
      </c>
      <c r="C10" s="51" t="s">
        <v>121</v>
      </c>
      <c r="D10" s="37">
        <v>50000450</v>
      </c>
      <c r="E10" s="38">
        <v>1794</v>
      </c>
      <c r="F10" s="38"/>
      <c r="G10" s="38"/>
      <c r="H10" s="38">
        <f t="shared" si="0"/>
        <v>0</v>
      </c>
      <c r="I10" s="61" t="e">
        <f t="shared" si="1"/>
        <v>#DIV/0!</v>
      </c>
      <c r="J10" s="71"/>
      <c r="K10" s="71"/>
    </row>
    <row r="11" spans="1:11" x14ac:dyDescent="0.25">
      <c r="A11" s="107"/>
      <c r="B11" s="50">
        <v>44562</v>
      </c>
      <c r="C11" s="51" t="s">
        <v>122</v>
      </c>
      <c r="D11" s="37">
        <v>40000100</v>
      </c>
      <c r="E11" s="38">
        <v>650</v>
      </c>
      <c r="F11" s="38"/>
      <c r="G11" s="38"/>
      <c r="H11" s="38">
        <f t="shared" si="0"/>
        <v>0</v>
      </c>
      <c r="I11" s="61" t="e">
        <f t="shared" si="1"/>
        <v>#DIV/0!</v>
      </c>
      <c r="J11" s="71"/>
      <c r="K11" s="71"/>
    </row>
    <row r="12" spans="1:11" x14ac:dyDescent="0.25">
      <c r="A12" s="107"/>
      <c r="B12" s="50">
        <v>44562</v>
      </c>
      <c r="C12" s="51" t="s">
        <v>123</v>
      </c>
      <c r="D12" s="37">
        <v>50000281</v>
      </c>
      <c r="E12" s="38">
        <v>69000</v>
      </c>
      <c r="F12" s="38"/>
      <c r="G12" s="38"/>
      <c r="H12" s="38">
        <f t="shared" si="0"/>
        <v>0</v>
      </c>
      <c r="I12" s="61" t="e">
        <f t="shared" si="1"/>
        <v>#DIV/0!</v>
      </c>
      <c r="J12" s="71"/>
      <c r="K12" s="71"/>
    </row>
    <row r="13" spans="1:11" x14ac:dyDescent="0.25">
      <c r="A13" s="107"/>
      <c r="B13" s="50">
        <v>44562</v>
      </c>
      <c r="C13" s="51" t="s">
        <v>124</v>
      </c>
      <c r="D13" s="37">
        <v>60000055</v>
      </c>
      <c r="E13" s="38">
        <v>3</v>
      </c>
      <c r="F13" s="38"/>
      <c r="G13" s="38"/>
      <c r="H13" s="38">
        <f t="shared" si="0"/>
        <v>0</v>
      </c>
      <c r="I13" s="61" t="e">
        <f t="shared" si="1"/>
        <v>#DIV/0!</v>
      </c>
      <c r="J13" s="71"/>
      <c r="K13" s="71"/>
    </row>
    <row r="14" spans="1:11" x14ac:dyDescent="0.25">
      <c r="A14" s="107"/>
      <c r="B14" s="50">
        <v>44562</v>
      </c>
      <c r="C14" s="51" t="s">
        <v>135</v>
      </c>
      <c r="D14" s="37">
        <v>7300004284</v>
      </c>
      <c r="E14" s="38">
        <v>3000</v>
      </c>
      <c r="F14" s="38"/>
      <c r="G14" s="38"/>
      <c r="H14" s="38">
        <f t="shared" si="0"/>
        <v>0</v>
      </c>
      <c r="I14" s="61" t="e">
        <f t="shared" si="1"/>
        <v>#DIV/0!</v>
      </c>
      <c r="J14" s="71"/>
      <c r="K14" s="71"/>
    </row>
    <row r="15" spans="1:11" x14ac:dyDescent="0.25">
      <c r="A15" s="107"/>
      <c r="B15" s="50">
        <v>44562</v>
      </c>
      <c r="C15" s="51" t="s">
        <v>136</v>
      </c>
      <c r="D15" s="37">
        <v>7300028060</v>
      </c>
      <c r="E15" s="38">
        <v>2</v>
      </c>
      <c r="F15" s="38"/>
      <c r="G15" s="38"/>
      <c r="H15" s="38">
        <f t="shared" si="0"/>
        <v>-69</v>
      </c>
      <c r="I15" s="61">
        <f t="shared" si="1"/>
        <v>-2.8985507246376812E-2</v>
      </c>
      <c r="J15" s="71"/>
      <c r="K15" s="71"/>
    </row>
    <row r="16" spans="1:11" x14ac:dyDescent="0.25">
      <c r="A16" s="107"/>
      <c r="B16" s="50">
        <v>44562</v>
      </c>
      <c r="C16" s="51" t="s">
        <v>137</v>
      </c>
      <c r="D16" s="37">
        <v>7300001782</v>
      </c>
      <c r="E16" s="38">
        <v>70</v>
      </c>
      <c r="F16" s="38"/>
      <c r="G16" s="38"/>
      <c r="H16" s="38">
        <f t="shared" si="0"/>
        <v>-201</v>
      </c>
      <c r="I16" s="61">
        <f t="shared" si="1"/>
        <v>-0.34825870646766172</v>
      </c>
      <c r="J16" s="71"/>
      <c r="K16" s="71"/>
    </row>
    <row r="17" spans="1:11" x14ac:dyDescent="0.25">
      <c r="A17" s="107">
        <v>44611</v>
      </c>
      <c r="B17" s="50">
        <v>44593</v>
      </c>
      <c r="C17" s="51" t="s">
        <v>109</v>
      </c>
      <c r="D17" s="37">
        <v>50000204</v>
      </c>
      <c r="E17" s="38">
        <v>3059</v>
      </c>
      <c r="F17" s="38"/>
      <c r="G17" s="38"/>
      <c r="H17" s="38">
        <f t="shared" si="0"/>
        <v>60</v>
      </c>
      <c r="I17" s="61">
        <f t="shared" si="1"/>
        <v>50.983333333333334</v>
      </c>
      <c r="J17" s="71"/>
      <c r="K17" s="71"/>
    </row>
    <row r="18" spans="1:11" x14ac:dyDescent="0.25">
      <c r="A18" s="107"/>
      <c r="B18" s="50">
        <v>44593</v>
      </c>
      <c r="C18" s="51" t="s">
        <v>112</v>
      </c>
      <c r="D18" s="37">
        <v>50000177</v>
      </c>
      <c r="E18" s="38">
        <v>639</v>
      </c>
      <c r="F18" s="38"/>
      <c r="G18" s="38"/>
      <c r="H18" s="38">
        <f t="shared" si="0"/>
        <v>9</v>
      </c>
      <c r="I18" s="61">
        <f t="shared" si="1"/>
        <v>71</v>
      </c>
      <c r="J18" s="71"/>
      <c r="K18" s="71"/>
    </row>
    <row r="19" spans="1:11" x14ac:dyDescent="0.25">
      <c r="A19" s="107"/>
      <c r="B19" s="50">
        <v>44593</v>
      </c>
      <c r="C19" s="51" t="s">
        <v>106</v>
      </c>
      <c r="D19" s="37">
        <v>50000178</v>
      </c>
      <c r="E19" s="38">
        <v>10950</v>
      </c>
      <c r="F19" s="38"/>
      <c r="G19" s="38"/>
      <c r="H19" s="38">
        <f t="shared" si="0"/>
        <v>0</v>
      </c>
      <c r="I19" s="61" t="e">
        <f t="shared" si="1"/>
        <v>#DIV/0!</v>
      </c>
      <c r="J19" s="71"/>
      <c r="K19" s="71"/>
    </row>
    <row r="20" spans="1:11" x14ac:dyDescent="0.25">
      <c r="A20" s="107"/>
      <c r="B20" s="50">
        <v>44593</v>
      </c>
      <c r="C20" s="51" t="s">
        <v>100</v>
      </c>
      <c r="D20" s="52">
        <v>50000264</v>
      </c>
      <c r="E20" s="38">
        <v>71539</v>
      </c>
      <c r="F20" s="38"/>
      <c r="G20" s="38"/>
      <c r="H20" s="38">
        <f t="shared" si="0"/>
        <v>8750</v>
      </c>
      <c r="I20" s="61">
        <f t="shared" si="1"/>
        <v>8.1758857142857142</v>
      </c>
      <c r="J20" s="71"/>
      <c r="K20" s="71"/>
    </row>
    <row r="21" spans="1:11" x14ac:dyDescent="0.25">
      <c r="A21" s="107"/>
      <c r="B21" s="50">
        <v>44593</v>
      </c>
      <c r="C21" s="51" t="s">
        <v>104</v>
      </c>
      <c r="D21" s="37">
        <v>50000390</v>
      </c>
      <c r="E21" s="38">
        <v>7440</v>
      </c>
      <c r="F21" s="38"/>
      <c r="G21" s="38"/>
      <c r="H21" s="38">
        <f t="shared" si="0"/>
        <v>0</v>
      </c>
      <c r="I21" s="61" t="e">
        <f t="shared" si="1"/>
        <v>#DIV/0!</v>
      </c>
      <c r="J21" s="71"/>
      <c r="K21" s="71"/>
    </row>
    <row r="22" spans="1:11" x14ac:dyDescent="0.25">
      <c r="A22" s="107"/>
      <c r="B22" s="50">
        <v>44593</v>
      </c>
      <c r="C22" s="51" t="s">
        <v>120</v>
      </c>
      <c r="D22" s="37">
        <v>50000333</v>
      </c>
      <c r="E22" s="38">
        <v>3594</v>
      </c>
      <c r="F22" s="38"/>
      <c r="G22" s="38"/>
      <c r="H22" s="38">
        <f t="shared" si="0"/>
        <v>0</v>
      </c>
      <c r="I22" s="61" t="e">
        <f t="shared" si="1"/>
        <v>#DIV/0!</v>
      </c>
      <c r="J22" s="71"/>
      <c r="K22" s="71"/>
    </row>
    <row r="23" spans="1:11" x14ac:dyDescent="0.25">
      <c r="A23" s="107"/>
      <c r="B23" s="50">
        <v>44593</v>
      </c>
      <c r="C23" s="51" t="s">
        <v>121</v>
      </c>
      <c r="D23" s="37">
        <v>50000450</v>
      </c>
      <c r="E23" s="38">
        <v>1794</v>
      </c>
      <c r="F23" s="38"/>
      <c r="G23" s="38"/>
      <c r="H23" s="38">
        <f t="shared" si="0"/>
        <v>0</v>
      </c>
      <c r="I23" s="61" t="e">
        <f t="shared" si="1"/>
        <v>#DIV/0!</v>
      </c>
      <c r="J23" s="71"/>
      <c r="K23" s="71"/>
    </row>
    <row r="24" spans="1:11" x14ac:dyDescent="0.25">
      <c r="A24" s="107"/>
      <c r="B24" s="50">
        <v>44593</v>
      </c>
      <c r="C24" s="51" t="s">
        <v>122</v>
      </c>
      <c r="D24" s="37">
        <v>40000100</v>
      </c>
      <c r="E24" s="38">
        <v>650</v>
      </c>
      <c r="F24" s="38"/>
      <c r="G24" s="38"/>
      <c r="H24" s="38">
        <f t="shared" si="0"/>
        <v>0</v>
      </c>
      <c r="I24" s="61" t="e">
        <f t="shared" si="1"/>
        <v>#DIV/0!</v>
      </c>
      <c r="J24" s="71"/>
      <c r="K24" s="71"/>
    </row>
    <row r="25" spans="1:11" x14ac:dyDescent="0.25">
      <c r="A25" s="107"/>
      <c r="B25" s="50">
        <v>44593</v>
      </c>
      <c r="C25" s="51" t="s">
        <v>123</v>
      </c>
      <c r="D25" s="37">
        <v>50000281</v>
      </c>
      <c r="E25" s="38">
        <v>69000</v>
      </c>
      <c r="F25" s="38"/>
      <c r="G25" s="38"/>
      <c r="H25" s="38">
        <f t="shared" si="0"/>
        <v>6000</v>
      </c>
      <c r="I25" s="61">
        <f t="shared" si="1"/>
        <v>11.5</v>
      </c>
      <c r="J25" s="71"/>
      <c r="K25" s="71"/>
    </row>
    <row r="26" spans="1:11" x14ac:dyDescent="0.25">
      <c r="A26" s="107"/>
      <c r="B26" s="50">
        <v>44593</v>
      </c>
      <c r="C26" s="51" t="s">
        <v>124</v>
      </c>
      <c r="D26" s="37">
        <v>60000055</v>
      </c>
      <c r="E26" s="38">
        <v>3</v>
      </c>
      <c r="F26" s="38"/>
      <c r="G26" s="38">
        <v>8</v>
      </c>
      <c r="H26" s="38">
        <f t="shared" si="0"/>
        <v>1</v>
      </c>
      <c r="I26" s="61">
        <f t="shared" si="1"/>
        <v>3</v>
      </c>
      <c r="J26" s="71"/>
      <c r="K26" s="71"/>
    </row>
    <row r="27" spans="1:11" x14ac:dyDescent="0.25">
      <c r="A27" s="107"/>
      <c r="B27" s="50">
        <v>44593</v>
      </c>
      <c r="C27" s="51" t="s">
        <v>135</v>
      </c>
      <c r="D27" s="37">
        <v>7300004284</v>
      </c>
      <c r="E27" s="38">
        <v>3000</v>
      </c>
      <c r="F27" s="38"/>
      <c r="G27" s="38">
        <v>6000</v>
      </c>
      <c r="H27" s="38">
        <f t="shared" si="0"/>
        <v>6000</v>
      </c>
      <c r="I27" s="61">
        <f t="shared" si="1"/>
        <v>0.5</v>
      </c>
      <c r="J27" s="71"/>
      <c r="K27" s="71"/>
    </row>
    <row r="28" spans="1:11" x14ac:dyDescent="0.25">
      <c r="A28" s="107"/>
      <c r="B28" s="50">
        <v>44593</v>
      </c>
      <c r="C28" s="51" t="s">
        <v>136</v>
      </c>
      <c r="D28" s="37">
        <v>7300028060</v>
      </c>
      <c r="E28" s="38">
        <v>71</v>
      </c>
      <c r="F28" s="38"/>
      <c r="G28" s="38">
        <v>10</v>
      </c>
      <c r="H28" s="38">
        <f t="shared" si="0"/>
        <v>32</v>
      </c>
      <c r="I28" s="61">
        <f t="shared" si="1"/>
        <v>2.21875</v>
      </c>
      <c r="J28" s="71"/>
      <c r="K28" s="71"/>
    </row>
    <row r="29" spans="1:11" x14ac:dyDescent="0.25">
      <c r="A29" s="107"/>
      <c r="B29" s="50">
        <v>44593</v>
      </c>
      <c r="C29" s="51" t="s">
        <v>137</v>
      </c>
      <c r="D29" s="37">
        <v>7300001782</v>
      </c>
      <c r="E29" s="38">
        <v>271</v>
      </c>
      <c r="F29" s="38"/>
      <c r="G29" s="38">
        <v>150</v>
      </c>
      <c r="H29" s="38">
        <f t="shared" si="0"/>
        <v>9</v>
      </c>
      <c r="I29" s="61">
        <f t="shared" si="1"/>
        <v>30.111111111111111</v>
      </c>
      <c r="J29" s="71"/>
      <c r="K29" s="71"/>
    </row>
    <row r="30" spans="1:11" x14ac:dyDescent="0.25">
      <c r="A30" s="107">
        <v>44625</v>
      </c>
      <c r="B30" s="50">
        <v>44621</v>
      </c>
      <c r="C30" s="51" t="s">
        <v>109</v>
      </c>
      <c r="D30" s="37">
        <v>50000204</v>
      </c>
      <c r="E30" s="38">
        <v>2999</v>
      </c>
      <c r="F30" s="38"/>
      <c r="G30" s="38"/>
      <c r="H30" s="38">
        <f t="shared" si="0"/>
        <v>15</v>
      </c>
      <c r="I30" s="61">
        <f t="shared" si="1"/>
        <v>199.93333333333334</v>
      </c>
      <c r="J30" s="71"/>
      <c r="K30" s="71"/>
    </row>
    <row r="31" spans="1:11" x14ac:dyDescent="0.25">
      <c r="A31" s="107"/>
      <c r="B31" s="50">
        <v>44621</v>
      </c>
      <c r="C31" s="51" t="s">
        <v>112</v>
      </c>
      <c r="D31" s="37">
        <v>50000177</v>
      </c>
      <c r="E31" s="38">
        <v>630</v>
      </c>
      <c r="F31" s="38"/>
      <c r="G31" s="38"/>
      <c r="H31" s="38">
        <f t="shared" si="0"/>
        <v>22</v>
      </c>
      <c r="I31" s="61">
        <f t="shared" si="1"/>
        <v>28.636363636363637</v>
      </c>
      <c r="J31" s="71"/>
      <c r="K31" s="71"/>
    </row>
    <row r="32" spans="1:11" x14ac:dyDescent="0.25">
      <c r="A32" s="107"/>
      <c r="B32" s="50">
        <v>44621</v>
      </c>
      <c r="C32" s="51" t="s">
        <v>106</v>
      </c>
      <c r="D32" s="37">
        <v>50000178</v>
      </c>
      <c r="E32" s="38">
        <v>10950</v>
      </c>
      <c r="F32" s="38"/>
      <c r="G32" s="38"/>
      <c r="H32" s="38">
        <f t="shared" si="0"/>
        <v>0</v>
      </c>
      <c r="I32" s="61" t="e">
        <f t="shared" si="1"/>
        <v>#DIV/0!</v>
      </c>
      <c r="J32" s="71"/>
      <c r="K32" s="71"/>
    </row>
    <row r="33" spans="1:11" x14ac:dyDescent="0.25">
      <c r="A33" s="107"/>
      <c r="B33" s="50">
        <v>44621</v>
      </c>
      <c r="C33" s="51" t="s">
        <v>100</v>
      </c>
      <c r="D33" s="52">
        <v>50000264</v>
      </c>
      <c r="E33" s="38">
        <v>62789</v>
      </c>
      <c r="F33" s="38"/>
      <c r="G33" s="38">
        <v>70000</v>
      </c>
      <c r="H33" s="38">
        <f t="shared" si="0"/>
        <v>89900</v>
      </c>
      <c r="I33" s="61">
        <f>E33/H33</f>
        <v>0.6984315906562848</v>
      </c>
      <c r="J33" s="71"/>
      <c r="K33" s="71"/>
    </row>
    <row r="34" spans="1:11" x14ac:dyDescent="0.25">
      <c r="A34" s="107"/>
      <c r="B34" s="50">
        <v>44621</v>
      </c>
      <c r="C34" s="51" t="s">
        <v>104</v>
      </c>
      <c r="D34" s="37">
        <v>50000390</v>
      </c>
      <c r="E34" s="38">
        <v>7440</v>
      </c>
      <c r="F34" s="38"/>
      <c r="G34" s="38"/>
      <c r="H34" s="38">
        <f t="shared" si="0"/>
        <v>0</v>
      </c>
      <c r="I34" s="61" t="e">
        <f t="shared" si="1"/>
        <v>#DIV/0!</v>
      </c>
      <c r="J34" s="71"/>
      <c r="K34" s="71"/>
    </row>
    <row r="35" spans="1:11" x14ac:dyDescent="0.25">
      <c r="A35" s="107"/>
      <c r="B35" s="50">
        <v>44621</v>
      </c>
      <c r="C35" s="51" t="s">
        <v>120</v>
      </c>
      <c r="D35" s="37">
        <v>50000333</v>
      </c>
      <c r="E35" s="38">
        <v>3594</v>
      </c>
      <c r="F35" s="38"/>
      <c r="G35" s="38"/>
      <c r="H35" s="38">
        <f t="shared" si="0"/>
        <v>0</v>
      </c>
      <c r="I35" s="61" t="e">
        <f t="shared" si="1"/>
        <v>#DIV/0!</v>
      </c>
      <c r="J35" s="71"/>
      <c r="K35" s="71"/>
    </row>
    <row r="36" spans="1:11" x14ac:dyDescent="0.25">
      <c r="A36" s="107"/>
      <c r="B36" s="50">
        <v>44621</v>
      </c>
      <c r="C36" s="51" t="s">
        <v>121</v>
      </c>
      <c r="D36" s="37">
        <v>50000450</v>
      </c>
      <c r="E36" s="38">
        <v>1794</v>
      </c>
      <c r="F36" s="38"/>
      <c r="G36" s="38"/>
      <c r="H36" s="38">
        <f t="shared" si="0"/>
        <v>0</v>
      </c>
      <c r="I36" s="61" t="e">
        <f t="shared" si="1"/>
        <v>#DIV/0!</v>
      </c>
      <c r="J36" s="71"/>
      <c r="K36" s="71"/>
    </row>
    <row r="37" spans="1:11" x14ac:dyDescent="0.25">
      <c r="A37" s="107"/>
      <c r="B37" s="50">
        <v>44621</v>
      </c>
      <c r="C37" s="51" t="s">
        <v>122</v>
      </c>
      <c r="D37" s="37">
        <v>40000100</v>
      </c>
      <c r="E37" s="38">
        <v>650</v>
      </c>
      <c r="F37" s="38"/>
      <c r="G37" s="38"/>
      <c r="H37" s="38">
        <f t="shared" si="0"/>
        <v>125</v>
      </c>
      <c r="I37" s="61">
        <f t="shared" si="1"/>
        <v>5.2</v>
      </c>
      <c r="J37" s="71"/>
      <c r="K37" s="71"/>
    </row>
    <row r="38" spans="1:11" x14ac:dyDescent="0.25">
      <c r="A38" s="107"/>
      <c r="B38" s="50">
        <v>44621</v>
      </c>
      <c r="C38" s="51" t="s">
        <v>123</v>
      </c>
      <c r="D38" s="37">
        <v>50000281</v>
      </c>
      <c r="E38" s="38">
        <f>21*3000</f>
        <v>63000</v>
      </c>
      <c r="F38" s="38"/>
      <c r="G38" s="38"/>
      <c r="H38" s="38">
        <f t="shared" si="0"/>
        <v>21000</v>
      </c>
      <c r="I38" s="61">
        <f t="shared" si="1"/>
        <v>3</v>
      </c>
      <c r="J38" s="71"/>
      <c r="K38" s="71"/>
    </row>
    <row r="39" spans="1:11" x14ac:dyDescent="0.25">
      <c r="A39" s="107"/>
      <c r="B39" s="50">
        <v>44621</v>
      </c>
      <c r="C39" s="51" t="s">
        <v>124</v>
      </c>
      <c r="D39" s="37">
        <v>60000055</v>
      </c>
      <c r="E39" s="38">
        <v>10</v>
      </c>
      <c r="F39" s="38"/>
      <c r="G39" s="38"/>
      <c r="H39" s="38">
        <f t="shared" si="0"/>
        <v>2</v>
      </c>
      <c r="I39" s="61">
        <f t="shared" si="1"/>
        <v>5</v>
      </c>
      <c r="J39" s="71"/>
      <c r="K39" s="71"/>
    </row>
    <row r="40" spans="1:11" x14ac:dyDescent="0.25">
      <c r="A40" s="107"/>
      <c r="B40" s="50">
        <v>44621</v>
      </c>
      <c r="C40" s="51" t="s">
        <v>135</v>
      </c>
      <c r="D40" s="37">
        <v>7300004284</v>
      </c>
      <c r="E40" s="38">
        <v>3000</v>
      </c>
      <c r="F40" s="38"/>
      <c r="G40" s="38"/>
      <c r="H40" s="38">
        <f t="shared" si="0"/>
        <v>-500</v>
      </c>
      <c r="I40" s="61">
        <f>E40/H40</f>
        <v>-6</v>
      </c>
      <c r="J40" s="71"/>
      <c r="K40" s="71"/>
    </row>
    <row r="41" spans="1:11" x14ac:dyDescent="0.25">
      <c r="A41" s="107"/>
      <c r="B41" s="50">
        <v>44621</v>
      </c>
      <c r="C41" s="51" t="s">
        <v>136</v>
      </c>
      <c r="D41" s="37">
        <v>7300028060</v>
      </c>
      <c r="E41" s="38">
        <v>49</v>
      </c>
      <c r="F41" s="38"/>
      <c r="G41" s="38"/>
      <c r="H41" s="38">
        <f t="shared" si="0"/>
        <v>49</v>
      </c>
      <c r="I41" s="61">
        <f t="shared" si="1"/>
        <v>1</v>
      </c>
      <c r="J41" s="71"/>
      <c r="K41" s="71"/>
    </row>
    <row r="42" spans="1:11" x14ac:dyDescent="0.25">
      <c r="A42" s="107"/>
      <c r="B42" s="50">
        <v>44621</v>
      </c>
      <c r="C42" s="51" t="s">
        <v>137</v>
      </c>
      <c r="D42" s="37">
        <v>7300001782</v>
      </c>
      <c r="E42" s="38">
        <v>412</v>
      </c>
      <c r="F42" s="38"/>
      <c r="G42" s="38"/>
      <c r="H42" s="38">
        <f t="shared" si="0"/>
        <v>372</v>
      </c>
      <c r="I42" s="61">
        <f t="shared" si="1"/>
        <v>1.10752688172043</v>
      </c>
      <c r="J42" s="71"/>
      <c r="K42" s="71"/>
    </row>
    <row r="43" spans="1:11" x14ac:dyDescent="0.25">
      <c r="A43" s="107">
        <v>44653</v>
      </c>
      <c r="B43" s="50">
        <v>44652</v>
      </c>
      <c r="C43" s="51" t="s">
        <v>109</v>
      </c>
      <c r="D43" s="37">
        <v>50000204</v>
      </c>
      <c r="E43" s="38">
        <v>2984</v>
      </c>
      <c r="F43" s="38"/>
      <c r="G43" s="38"/>
      <c r="H43" s="38">
        <f t="shared" si="0"/>
        <v>2984</v>
      </c>
      <c r="I43" s="61">
        <f t="shared" si="1"/>
        <v>1</v>
      </c>
      <c r="J43" s="71"/>
      <c r="K43" s="71"/>
    </row>
    <row r="44" spans="1:11" x14ac:dyDescent="0.25">
      <c r="A44" s="107"/>
      <c r="B44" s="50">
        <v>44652</v>
      </c>
      <c r="C44" s="51" t="s">
        <v>112</v>
      </c>
      <c r="D44" s="37">
        <v>50000177</v>
      </c>
      <c r="E44" s="38">
        <v>608</v>
      </c>
      <c r="F44" s="38"/>
      <c r="G44" s="38"/>
      <c r="H44" s="38">
        <f t="shared" si="0"/>
        <v>608</v>
      </c>
      <c r="I44" s="61">
        <f t="shared" si="1"/>
        <v>1</v>
      </c>
      <c r="J44" s="71"/>
      <c r="K44" s="71"/>
    </row>
    <row r="45" spans="1:11" x14ac:dyDescent="0.25">
      <c r="A45" s="107"/>
      <c r="B45" s="50">
        <v>44652</v>
      </c>
      <c r="C45" s="51" t="s">
        <v>106</v>
      </c>
      <c r="D45" s="37">
        <v>50000178</v>
      </c>
      <c r="E45" s="38">
        <v>10950</v>
      </c>
      <c r="F45" s="38"/>
      <c r="G45" s="38"/>
      <c r="H45" s="38">
        <f t="shared" si="0"/>
        <v>10950</v>
      </c>
      <c r="I45" s="61">
        <f t="shared" si="1"/>
        <v>1</v>
      </c>
      <c r="J45" s="71"/>
      <c r="K45" s="71"/>
    </row>
    <row r="46" spans="1:11" x14ac:dyDescent="0.25">
      <c r="A46" s="107"/>
      <c r="B46" s="50">
        <v>44652</v>
      </c>
      <c r="C46" s="51" t="s">
        <v>100</v>
      </c>
      <c r="D46" s="52">
        <v>50000264</v>
      </c>
      <c r="E46" s="38">
        <v>42889</v>
      </c>
      <c r="F46" s="38"/>
      <c r="G46" s="38"/>
      <c r="H46" s="38">
        <f t="shared" si="0"/>
        <v>17889</v>
      </c>
      <c r="I46" s="61">
        <f>E46/H46</f>
        <v>2.3975068477835539</v>
      </c>
      <c r="J46" s="71"/>
      <c r="K46" s="71"/>
    </row>
    <row r="47" spans="1:11" x14ac:dyDescent="0.25">
      <c r="A47" s="107"/>
      <c r="B47" s="50">
        <v>44652</v>
      </c>
      <c r="C47" s="51" t="s">
        <v>104</v>
      </c>
      <c r="D47" s="37">
        <v>50000390</v>
      </c>
      <c r="E47" s="38">
        <v>7440</v>
      </c>
      <c r="F47" s="38"/>
      <c r="G47" s="38"/>
      <c r="H47" s="38">
        <f t="shared" si="0"/>
        <v>7440</v>
      </c>
      <c r="I47" s="61">
        <f t="shared" si="1"/>
        <v>1</v>
      </c>
      <c r="J47" s="71"/>
      <c r="K47" s="71"/>
    </row>
    <row r="48" spans="1:11" x14ac:dyDescent="0.25">
      <c r="A48" s="107"/>
      <c r="B48" s="50">
        <v>44652</v>
      </c>
      <c r="C48" s="51" t="s">
        <v>120</v>
      </c>
      <c r="D48" s="37">
        <v>50000333</v>
      </c>
      <c r="E48" s="38">
        <v>3594</v>
      </c>
      <c r="F48" s="38"/>
      <c r="G48" s="38"/>
      <c r="H48" s="38">
        <f t="shared" si="0"/>
        <v>3594</v>
      </c>
      <c r="I48" s="61">
        <f t="shared" si="1"/>
        <v>1</v>
      </c>
      <c r="J48" s="71"/>
      <c r="K48" s="71"/>
    </row>
    <row r="49" spans="1:11" x14ac:dyDescent="0.25">
      <c r="A49" s="107"/>
      <c r="B49" s="50">
        <v>44652</v>
      </c>
      <c r="C49" s="51" t="s">
        <v>121</v>
      </c>
      <c r="D49" s="37">
        <v>50000450</v>
      </c>
      <c r="E49" s="38">
        <v>1794</v>
      </c>
      <c r="F49" s="38"/>
      <c r="G49" s="38"/>
      <c r="H49" s="38">
        <f t="shared" si="0"/>
        <v>1794</v>
      </c>
      <c r="I49" s="61">
        <f t="shared" si="1"/>
        <v>1</v>
      </c>
      <c r="J49" s="71"/>
      <c r="K49" s="71"/>
    </row>
    <row r="50" spans="1:11" x14ac:dyDescent="0.25">
      <c r="A50" s="107"/>
      <c r="B50" s="50">
        <v>44652</v>
      </c>
      <c r="C50" s="51" t="s">
        <v>122</v>
      </c>
      <c r="D50" s="37">
        <v>40000100</v>
      </c>
      <c r="E50" s="38">
        <v>525</v>
      </c>
      <c r="F50" s="38"/>
      <c r="G50" s="38"/>
      <c r="H50" s="38">
        <f t="shared" si="0"/>
        <v>325</v>
      </c>
      <c r="I50" s="61">
        <f t="shared" si="1"/>
        <v>1.6153846153846154</v>
      </c>
      <c r="J50" s="71"/>
      <c r="K50" s="71"/>
    </row>
    <row r="51" spans="1:11" x14ac:dyDescent="0.25">
      <c r="A51" s="107"/>
      <c r="B51" s="50">
        <v>44652</v>
      </c>
      <c r="C51" s="51" t="s">
        <v>123</v>
      </c>
      <c r="D51" s="37">
        <v>50000281</v>
      </c>
      <c r="E51" s="38">
        <f>14*3000</f>
        <v>42000</v>
      </c>
      <c r="F51" s="38"/>
      <c r="G51" s="38"/>
      <c r="H51" s="38">
        <f t="shared" si="0"/>
        <v>-9000</v>
      </c>
      <c r="I51" s="61">
        <f t="shared" si="1"/>
        <v>-4.666666666666667</v>
      </c>
      <c r="J51" s="71"/>
      <c r="K51" s="71"/>
    </row>
    <row r="52" spans="1:11" x14ac:dyDescent="0.25">
      <c r="A52" s="107"/>
      <c r="B52" s="50">
        <v>44652</v>
      </c>
      <c r="C52" s="51" t="s">
        <v>124</v>
      </c>
      <c r="D52" s="37">
        <v>60000055</v>
      </c>
      <c r="E52" s="38">
        <v>8</v>
      </c>
      <c r="F52" s="38"/>
      <c r="G52" s="38"/>
      <c r="H52" s="38">
        <f t="shared" si="0"/>
        <v>5</v>
      </c>
      <c r="I52" s="61">
        <f t="shared" si="1"/>
        <v>1.6</v>
      </c>
      <c r="J52" s="71"/>
      <c r="K52" s="71"/>
    </row>
    <row r="53" spans="1:11" x14ac:dyDescent="0.25">
      <c r="A53" s="107"/>
      <c r="B53" s="50">
        <v>44652</v>
      </c>
      <c r="C53" s="51" t="s">
        <v>135</v>
      </c>
      <c r="D53" s="37">
        <v>7300004284</v>
      </c>
      <c r="E53" s="38">
        <v>3500</v>
      </c>
      <c r="F53" s="38"/>
      <c r="G53" s="38"/>
      <c r="H53" s="38">
        <f t="shared" si="0"/>
        <v>3500</v>
      </c>
      <c r="I53" s="61">
        <f t="shared" si="1"/>
        <v>1</v>
      </c>
      <c r="J53" s="71"/>
      <c r="K53" s="71"/>
    </row>
    <row r="54" spans="1:11" x14ac:dyDescent="0.25">
      <c r="A54" s="107"/>
      <c r="B54" s="50">
        <v>44652</v>
      </c>
      <c r="C54" s="51" t="s">
        <v>136</v>
      </c>
      <c r="D54" s="37">
        <v>7300028060</v>
      </c>
      <c r="E54" s="38"/>
      <c r="F54" s="38"/>
      <c r="G54" s="38"/>
      <c r="H54" s="38">
        <f t="shared" si="0"/>
        <v>0</v>
      </c>
      <c r="I54" s="61" t="e">
        <f t="shared" si="1"/>
        <v>#DIV/0!</v>
      </c>
      <c r="J54" s="71"/>
      <c r="K54" s="71"/>
    </row>
    <row r="55" spans="1:11" x14ac:dyDescent="0.25">
      <c r="A55" s="107"/>
      <c r="B55" s="50">
        <v>44652</v>
      </c>
      <c r="C55" s="51" t="s">
        <v>137</v>
      </c>
      <c r="D55" s="37">
        <v>7300001782</v>
      </c>
      <c r="E55" s="38">
        <v>40</v>
      </c>
      <c r="F55" s="38"/>
      <c r="G55" s="38">
        <v>200</v>
      </c>
      <c r="H55" s="38">
        <f t="shared" si="0"/>
        <v>240</v>
      </c>
      <c r="I55" s="61">
        <f t="shared" si="1"/>
        <v>0.16666666666666666</v>
      </c>
      <c r="J55" s="71"/>
      <c r="K55" s="71"/>
    </row>
    <row r="56" spans="1:11" x14ac:dyDescent="0.25">
      <c r="A56" s="107"/>
      <c r="B56" s="50">
        <v>44682</v>
      </c>
      <c r="C56" s="51" t="s">
        <v>109</v>
      </c>
      <c r="D56" s="37">
        <v>50000204</v>
      </c>
      <c r="E56" s="38"/>
      <c r="F56" s="38"/>
      <c r="G56" s="38"/>
      <c r="H56" s="38">
        <f t="shared" si="0"/>
        <v>0</v>
      </c>
      <c r="I56" s="61" t="e">
        <f t="shared" si="1"/>
        <v>#DIV/0!</v>
      </c>
      <c r="J56" s="71"/>
      <c r="K56" s="71"/>
    </row>
    <row r="57" spans="1:11" x14ac:dyDescent="0.25">
      <c r="A57" s="107"/>
      <c r="B57" s="50">
        <v>44682</v>
      </c>
      <c r="C57" s="51" t="s">
        <v>112</v>
      </c>
      <c r="D57" s="37">
        <v>50000177</v>
      </c>
      <c r="E57" s="38"/>
      <c r="F57" s="38"/>
      <c r="G57" s="38"/>
      <c r="H57" s="38">
        <f t="shared" si="0"/>
        <v>0</v>
      </c>
      <c r="I57" s="61" t="e">
        <f t="shared" si="1"/>
        <v>#DIV/0!</v>
      </c>
      <c r="J57" s="71"/>
      <c r="K57" s="71"/>
    </row>
    <row r="58" spans="1:11" x14ac:dyDescent="0.25">
      <c r="A58" s="107"/>
      <c r="B58" s="50">
        <v>44682</v>
      </c>
      <c r="C58" s="51" t="s">
        <v>106</v>
      </c>
      <c r="D58" s="37">
        <v>50000178</v>
      </c>
      <c r="E58" s="38"/>
      <c r="F58" s="38"/>
      <c r="G58" s="38"/>
      <c r="H58" s="38">
        <f t="shared" si="0"/>
        <v>0</v>
      </c>
      <c r="I58" s="61" t="e">
        <f t="shared" si="1"/>
        <v>#DIV/0!</v>
      </c>
      <c r="J58" s="71"/>
      <c r="K58" s="71"/>
    </row>
    <row r="59" spans="1:11" x14ac:dyDescent="0.25">
      <c r="A59" s="107"/>
      <c r="B59" s="50">
        <v>44682</v>
      </c>
      <c r="C59" s="51" t="s">
        <v>100</v>
      </c>
      <c r="D59" s="52">
        <v>50000264</v>
      </c>
      <c r="E59" s="38">
        <v>25000</v>
      </c>
      <c r="F59" s="38"/>
      <c r="G59" s="38"/>
      <c r="H59" s="38">
        <f t="shared" si="0"/>
        <v>25000</v>
      </c>
      <c r="I59" s="61">
        <f t="shared" si="1"/>
        <v>1</v>
      </c>
      <c r="J59" s="71"/>
      <c r="K59" s="71"/>
    </row>
    <row r="60" spans="1:11" x14ac:dyDescent="0.25">
      <c r="A60" s="107"/>
      <c r="B60" s="50">
        <v>44682</v>
      </c>
      <c r="C60" s="51" t="s">
        <v>104</v>
      </c>
      <c r="D60" s="37">
        <v>50000390</v>
      </c>
      <c r="E60" s="38"/>
      <c r="F60" s="38"/>
      <c r="G60" s="38"/>
      <c r="H60" s="38">
        <f t="shared" si="0"/>
        <v>0</v>
      </c>
      <c r="I60" s="61" t="e">
        <f t="shared" si="1"/>
        <v>#DIV/0!</v>
      </c>
      <c r="J60" s="71"/>
      <c r="K60" s="71"/>
    </row>
    <row r="61" spans="1:11" x14ac:dyDescent="0.25">
      <c r="A61" s="107"/>
      <c r="B61" s="50">
        <v>44682</v>
      </c>
      <c r="C61" s="51" t="s">
        <v>120</v>
      </c>
      <c r="D61" s="37">
        <v>50000333</v>
      </c>
      <c r="E61" s="38"/>
      <c r="F61" s="38"/>
      <c r="G61" s="38"/>
      <c r="H61" s="38">
        <f t="shared" si="0"/>
        <v>0</v>
      </c>
      <c r="I61" s="61" t="e">
        <f t="shared" si="1"/>
        <v>#DIV/0!</v>
      </c>
      <c r="J61" s="71"/>
      <c r="K61" s="71"/>
    </row>
    <row r="62" spans="1:11" x14ac:dyDescent="0.25">
      <c r="A62" s="107"/>
      <c r="B62" s="50">
        <v>44682</v>
      </c>
      <c r="C62" s="51" t="s">
        <v>121</v>
      </c>
      <c r="D62" s="37">
        <v>50000450</v>
      </c>
      <c r="E62" s="38"/>
      <c r="F62" s="38"/>
      <c r="G62" s="38"/>
      <c r="H62" s="38">
        <f t="shared" si="0"/>
        <v>0</v>
      </c>
      <c r="I62" s="61" t="e">
        <f t="shared" si="1"/>
        <v>#DIV/0!</v>
      </c>
      <c r="J62" s="71"/>
      <c r="K62" s="71"/>
    </row>
    <row r="63" spans="1:11" x14ac:dyDescent="0.25">
      <c r="A63" s="107"/>
      <c r="B63" s="50">
        <v>44682</v>
      </c>
      <c r="C63" s="51" t="s">
        <v>122</v>
      </c>
      <c r="D63" s="37">
        <v>40000100</v>
      </c>
      <c r="E63" s="38">
        <v>200</v>
      </c>
      <c r="F63" s="38"/>
      <c r="G63" s="38"/>
      <c r="H63" s="38">
        <f t="shared" si="0"/>
        <v>200</v>
      </c>
      <c r="I63" s="61">
        <f t="shared" si="1"/>
        <v>1</v>
      </c>
      <c r="J63" s="71"/>
      <c r="K63" s="71"/>
    </row>
    <row r="64" spans="1:11" x14ac:dyDescent="0.25">
      <c r="A64" s="107"/>
      <c r="B64" s="50">
        <v>44682</v>
      </c>
      <c r="C64" s="51" t="s">
        <v>123</v>
      </c>
      <c r="D64" s="37">
        <v>50000281</v>
      </c>
      <c r="E64" s="38">
        <v>51000</v>
      </c>
      <c r="F64" s="38"/>
      <c r="G64" s="38"/>
      <c r="H64" s="38">
        <f t="shared" si="0"/>
        <v>51000</v>
      </c>
      <c r="I64" s="61">
        <f t="shared" si="1"/>
        <v>1</v>
      </c>
      <c r="J64" s="71"/>
      <c r="K64" s="71"/>
    </row>
    <row r="65" spans="1:11" x14ac:dyDescent="0.25">
      <c r="A65" s="107"/>
      <c r="B65" s="50">
        <v>44682</v>
      </c>
      <c r="C65" s="51" t="s">
        <v>124</v>
      </c>
      <c r="D65" s="37">
        <v>60000055</v>
      </c>
      <c r="E65" s="38">
        <v>3</v>
      </c>
      <c r="F65" s="38"/>
      <c r="G65" s="38"/>
      <c r="H65" s="38">
        <f t="shared" si="0"/>
        <v>3</v>
      </c>
      <c r="I65" s="61">
        <f t="shared" si="1"/>
        <v>1</v>
      </c>
      <c r="J65" s="71"/>
      <c r="K65" s="71"/>
    </row>
    <row r="66" spans="1:11" x14ac:dyDescent="0.25">
      <c r="A66" s="107"/>
      <c r="B66" s="50">
        <v>44682</v>
      </c>
      <c r="C66" s="51" t="s">
        <v>135</v>
      </c>
      <c r="D66" s="37">
        <v>7300004284</v>
      </c>
      <c r="E66" s="38"/>
      <c r="F66" s="38"/>
      <c r="G66" s="38"/>
      <c r="H66" s="38">
        <f t="shared" si="0"/>
        <v>0</v>
      </c>
      <c r="I66" s="61" t="e">
        <f t="shared" si="1"/>
        <v>#DIV/0!</v>
      </c>
      <c r="J66" s="71"/>
      <c r="K66" s="71"/>
    </row>
    <row r="67" spans="1:11" x14ac:dyDescent="0.25">
      <c r="A67" s="107"/>
      <c r="B67" s="50">
        <v>44682</v>
      </c>
      <c r="C67" s="51" t="s">
        <v>136</v>
      </c>
      <c r="D67" s="37">
        <v>7300028060</v>
      </c>
      <c r="E67" s="38"/>
      <c r="F67" s="38"/>
      <c r="G67" s="38"/>
      <c r="H67" s="38">
        <f t="shared" si="0"/>
        <v>0</v>
      </c>
      <c r="I67" s="61" t="e">
        <f t="shared" si="1"/>
        <v>#DIV/0!</v>
      </c>
      <c r="J67" s="71"/>
      <c r="K67" s="71"/>
    </row>
    <row r="68" spans="1:11" x14ac:dyDescent="0.25">
      <c r="A68" s="107"/>
      <c r="B68" s="50">
        <v>44682</v>
      </c>
      <c r="C68" s="51" t="s">
        <v>137</v>
      </c>
      <c r="D68" s="37">
        <v>7300001782</v>
      </c>
      <c r="E68" s="38"/>
      <c r="F68" s="38"/>
      <c r="G68" s="38"/>
      <c r="H68" s="38">
        <f t="shared" si="0"/>
        <v>0</v>
      </c>
      <c r="I68" s="61" t="e">
        <f t="shared" si="1"/>
        <v>#DIV/0!</v>
      </c>
      <c r="J68" s="71"/>
      <c r="K68" s="71"/>
    </row>
    <row r="69" spans="1:11" x14ac:dyDescent="0.25">
      <c r="A69" s="107"/>
      <c r="B69" s="50">
        <v>44713</v>
      </c>
      <c r="C69" s="51" t="s">
        <v>109</v>
      </c>
      <c r="D69" s="37">
        <v>50000204</v>
      </c>
      <c r="E69" s="38"/>
      <c r="F69" s="38"/>
      <c r="G69" s="38"/>
      <c r="H69" s="38">
        <f t="shared" ref="H69:H132" si="2">E69-E82+G69</f>
        <v>-2532</v>
      </c>
      <c r="I69" s="61">
        <f t="shared" ref="I69:I145" si="3">E69/H69</f>
        <v>0</v>
      </c>
      <c r="J69" s="71"/>
      <c r="K69" s="71"/>
    </row>
    <row r="70" spans="1:11" x14ac:dyDescent="0.25">
      <c r="A70" s="107"/>
      <c r="B70" s="50">
        <v>44713</v>
      </c>
      <c r="C70" s="51" t="s">
        <v>112</v>
      </c>
      <c r="D70" s="37">
        <v>50000177</v>
      </c>
      <c r="E70" s="38"/>
      <c r="F70" s="38"/>
      <c r="G70" s="38"/>
      <c r="H70" s="38">
        <f t="shared" si="2"/>
        <v>-418</v>
      </c>
      <c r="I70" s="61">
        <f t="shared" si="3"/>
        <v>0</v>
      </c>
      <c r="J70" s="71"/>
      <c r="K70" s="71"/>
    </row>
    <row r="71" spans="1:11" x14ac:dyDescent="0.25">
      <c r="A71" s="107"/>
      <c r="B71" s="50">
        <v>44713</v>
      </c>
      <c r="C71" s="51" t="s">
        <v>106</v>
      </c>
      <c r="D71" s="37">
        <v>50000178</v>
      </c>
      <c r="E71" s="38"/>
      <c r="F71" s="38"/>
      <c r="G71" s="38"/>
      <c r="H71" s="38">
        <f t="shared" si="2"/>
        <v>-10950</v>
      </c>
      <c r="I71" s="61">
        <f t="shared" si="3"/>
        <v>0</v>
      </c>
      <c r="J71" s="71"/>
      <c r="K71" s="71"/>
    </row>
    <row r="72" spans="1:11" x14ac:dyDescent="0.25">
      <c r="A72" s="107"/>
      <c r="B72" s="50">
        <v>44713</v>
      </c>
      <c r="C72" s="51" t="s">
        <v>100</v>
      </c>
      <c r="D72" s="52">
        <v>50000264</v>
      </c>
      <c r="E72" s="38"/>
      <c r="F72" s="38"/>
      <c r="G72" s="38"/>
      <c r="H72" s="38">
        <f t="shared" si="2"/>
        <v>-98849</v>
      </c>
      <c r="I72" s="61">
        <f>E72/H72</f>
        <v>0</v>
      </c>
      <c r="J72" s="71"/>
      <c r="K72" s="71"/>
    </row>
    <row r="73" spans="1:11" x14ac:dyDescent="0.25">
      <c r="A73" s="107"/>
      <c r="B73" s="50">
        <v>44713</v>
      </c>
      <c r="C73" s="51" t="s">
        <v>104</v>
      </c>
      <c r="D73" s="37">
        <v>50000390</v>
      </c>
      <c r="E73" s="38"/>
      <c r="F73" s="38"/>
      <c r="G73" s="38"/>
      <c r="H73" s="38">
        <f t="shared" si="2"/>
        <v>-7440</v>
      </c>
      <c r="I73" s="61">
        <f t="shared" si="3"/>
        <v>0</v>
      </c>
      <c r="J73" s="71"/>
      <c r="K73" s="71"/>
    </row>
    <row r="74" spans="1:11" x14ac:dyDescent="0.25">
      <c r="A74" s="107"/>
      <c r="B74" s="50">
        <v>44713</v>
      </c>
      <c r="C74" s="51" t="s">
        <v>120</v>
      </c>
      <c r="D74" s="37">
        <v>50000333</v>
      </c>
      <c r="E74" s="38"/>
      <c r="F74" s="38"/>
      <c r="G74" s="38"/>
      <c r="H74" s="38">
        <f t="shared" si="2"/>
        <v>-3594</v>
      </c>
      <c r="I74" s="61">
        <f t="shared" si="3"/>
        <v>0</v>
      </c>
      <c r="J74" s="71"/>
      <c r="K74" s="71"/>
    </row>
    <row r="75" spans="1:11" x14ac:dyDescent="0.25">
      <c r="A75" s="107"/>
      <c r="B75" s="50">
        <v>44713</v>
      </c>
      <c r="C75" s="51" t="s">
        <v>121</v>
      </c>
      <c r="D75" s="37">
        <v>50000450</v>
      </c>
      <c r="E75" s="38"/>
      <c r="F75" s="38"/>
      <c r="G75" s="38"/>
      <c r="H75" s="38">
        <f t="shared" si="2"/>
        <v>-694</v>
      </c>
      <c r="I75" s="61">
        <f t="shared" si="3"/>
        <v>0</v>
      </c>
      <c r="J75" s="71"/>
      <c r="K75" s="71"/>
    </row>
    <row r="76" spans="1:11" x14ac:dyDescent="0.25">
      <c r="A76" s="107"/>
      <c r="B76" s="50">
        <v>44713</v>
      </c>
      <c r="C76" s="51" t="s">
        <v>122</v>
      </c>
      <c r="D76" s="37">
        <v>40000100</v>
      </c>
      <c r="E76" s="38"/>
      <c r="F76" s="38"/>
      <c r="G76" s="38"/>
      <c r="H76" s="38">
        <f t="shared" si="2"/>
        <v>-225</v>
      </c>
      <c r="I76" s="61">
        <f t="shared" si="3"/>
        <v>0</v>
      </c>
      <c r="J76" s="71"/>
      <c r="K76" s="71"/>
    </row>
    <row r="77" spans="1:11" x14ac:dyDescent="0.25">
      <c r="A77" s="107"/>
      <c r="B77" s="50">
        <v>44713</v>
      </c>
      <c r="C77" s="51" t="s">
        <v>123</v>
      </c>
      <c r="D77" s="37">
        <v>50000281</v>
      </c>
      <c r="E77" s="38"/>
      <c r="F77" s="38"/>
      <c r="G77" s="38"/>
      <c r="H77" s="38">
        <f t="shared" si="2"/>
        <v>-24000</v>
      </c>
      <c r="I77" s="61">
        <f t="shared" si="3"/>
        <v>0</v>
      </c>
      <c r="J77" s="71"/>
      <c r="K77" s="71"/>
    </row>
    <row r="78" spans="1:11" x14ac:dyDescent="0.25">
      <c r="A78" s="107"/>
      <c r="B78" s="50">
        <v>44713</v>
      </c>
      <c r="C78" s="51" t="s">
        <v>124</v>
      </c>
      <c r="D78" s="37">
        <v>60000055</v>
      </c>
      <c r="E78" s="38"/>
      <c r="F78" s="38"/>
      <c r="G78" s="38"/>
      <c r="H78" s="38">
        <f t="shared" si="2"/>
        <v>-6</v>
      </c>
      <c r="I78" s="61">
        <f t="shared" si="3"/>
        <v>0</v>
      </c>
      <c r="J78" s="71"/>
      <c r="K78" s="71"/>
    </row>
    <row r="79" spans="1:11" x14ac:dyDescent="0.25">
      <c r="A79" s="107"/>
      <c r="B79" s="50">
        <v>44713</v>
      </c>
      <c r="C79" s="51" t="s">
        <v>135</v>
      </c>
      <c r="D79" s="37">
        <v>7300004284</v>
      </c>
      <c r="E79" s="38"/>
      <c r="F79" s="38"/>
      <c r="G79" s="38"/>
      <c r="H79" s="38">
        <f t="shared" si="2"/>
        <v>0</v>
      </c>
      <c r="I79" s="61" t="e">
        <f t="shared" si="3"/>
        <v>#DIV/0!</v>
      </c>
      <c r="J79" s="71"/>
      <c r="K79" s="71"/>
    </row>
    <row r="80" spans="1:11" x14ac:dyDescent="0.25">
      <c r="A80" s="107"/>
      <c r="B80" s="50">
        <v>44713</v>
      </c>
      <c r="C80" s="51" t="s">
        <v>136</v>
      </c>
      <c r="D80" s="37">
        <v>7300028060</v>
      </c>
      <c r="E80" s="38"/>
      <c r="F80" s="38"/>
      <c r="G80" s="38"/>
      <c r="H80" s="38">
        <f t="shared" si="2"/>
        <v>0</v>
      </c>
      <c r="I80" s="61" t="e">
        <f t="shared" si="3"/>
        <v>#DIV/0!</v>
      </c>
      <c r="J80" s="71"/>
      <c r="K80" s="71"/>
    </row>
    <row r="81" spans="1:11" x14ac:dyDescent="0.25">
      <c r="A81" s="107"/>
      <c r="B81" s="50">
        <v>44713</v>
      </c>
      <c r="C81" s="51" t="s">
        <v>137</v>
      </c>
      <c r="D81" s="37">
        <v>7300001782</v>
      </c>
      <c r="E81" s="38"/>
      <c r="F81" s="38"/>
      <c r="G81" s="38"/>
      <c r="H81" s="38">
        <f t="shared" si="2"/>
        <v>0</v>
      </c>
      <c r="I81" s="61" t="e">
        <f t="shared" si="3"/>
        <v>#DIV/0!</v>
      </c>
      <c r="J81" s="71"/>
      <c r="K81" s="71"/>
    </row>
    <row r="82" spans="1:11" x14ac:dyDescent="0.25">
      <c r="A82" s="107">
        <v>44751</v>
      </c>
      <c r="B82" s="50">
        <v>44743</v>
      </c>
      <c r="C82" s="51" t="s">
        <v>109</v>
      </c>
      <c r="D82" s="37">
        <v>50000204</v>
      </c>
      <c r="E82" s="38">
        <v>2532</v>
      </c>
      <c r="F82" s="38"/>
      <c r="G82" s="38">
        <v>-662</v>
      </c>
      <c r="H82" s="38">
        <f t="shared" si="2"/>
        <v>1315</v>
      </c>
      <c r="I82" s="61">
        <f t="shared" ref="I82:I94" si="4">E82/H82</f>
        <v>1.9254752851711026</v>
      </c>
      <c r="J82" s="71"/>
      <c r="K82" s="71"/>
    </row>
    <row r="83" spans="1:11" x14ac:dyDescent="0.25">
      <c r="A83" s="107"/>
      <c r="B83" s="50">
        <v>44743</v>
      </c>
      <c r="C83" s="51" t="s">
        <v>112</v>
      </c>
      <c r="D83" s="37">
        <v>50000177</v>
      </c>
      <c r="E83" s="38">
        <v>418</v>
      </c>
      <c r="F83" s="38"/>
      <c r="G83" s="38">
        <v>662</v>
      </c>
      <c r="H83" s="38">
        <f>E83-E96+G83</f>
        <v>-35</v>
      </c>
      <c r="I83" s="61">
        <f t="shared" si="4"/>
        <v>-11.942857142857143</v>
      </c>
      <c r="J83" s="71"/>
      <c r="K83" s="71"/>
    </row>
    <row r="84" spans="1:11" x14ac:dyDescent="0.25">
      <c r="A84" s="107"/>
      <c r="B84" s="50">
        <v>44743</v>
      </c>
      <c r="C84" s="51" t="s">
        <v>106</v>
      </c>
      <c r="D84" s="37">
        <v>50000178</v>
      </c>
      <c r="E84" s="38">
        <v>10950</v>
      </c>
      <c r="F84" s="38"/>
      <c r="G84" s="38"/>
      <c r="H84" s="38">
        <f t="shared" si="2"/>
        <v>0</v>
      </c>
      <c r="I84" s="61" t="e">
        <f t="shared" si="4"/>
        <v>#DIV/0!</v>
      </c>
      <c r="J84" s="71"/>
      <c r="K84" s="71"/>
    </row>
    <row r="85" spans="1:11" x14ac:dyDescent="0.25">
      <c r="A85" s="107"/>
      <c r="B85" s="50">
        <v>44743</v>
      </c>
      <c r="C85" s="51" t="s">
        <v>100</v>
      </c>
      <c r="D85" s="52">
        <v>50000264</v>
      </c>
      <c r="E85" s="38">
        <v>98849</v>
      </c>
      <c r="F85" s="38"/>
      <c r="G85" s="38"/>
      <c r="H85" s="38">
        <f t="shared" si="2"/>
        <v>17249</v>
      </c>
      <c r="I85" s="61">
        <f t="shared" si="4"/>
        <v>5.7307090266102385</v>
      </c>
      <c r="J85" s="71"/>
      <c r="K85" s="71"/>
    </row>
    <row r="86" spans="1:11" x14ac:dyDescent="0.25">
      <c r="A86" s="107"/>
      <c r="B86" s="50">
        <v>44743</v>
      </c>
      <c r="C86" s="51" t="s">
        <v>104</v>
      </c>
      <c r="D86" s="37">
        <v>50000390</v>
      </c>
      <c r="E86" s="38">
        <v>7440</v>
      </c>
      <c r="F86" s="38"/>
      <c r="G86" s="38"/>
      <c r="H86" s="38">
        <f t="shared" si="2"/>
        <v>0</v>
      </c>
      <c r="I86" s="61" t="e">
        <f t="shared" si="4"/>
        <v>#DIV/0!</v>
      </c>
      <c r="J86" s="71"/>
      <c r="K86" s="71"/>
    </row>
    <row r="87" spans="1:11" x14ac:dyDescent="0.25">
      <c r="A87" s="107"/>
      <c r="B87" s="50">
        <v>44743</v>
      </c>
      <c r="C87" s="51" t="s">
        <v>120</v>
      </c>
      <c r="D87" s="37">
        <v>50000333</v>
      </c>
      <c r="E87" s="38">
        <v>3594</v>
      </c>
      <c r="F87" s="38"/>
      <c r="G87" s="38"/>
      <c r="H87" s="38">
        <f t="shared" si="2"/>
        <v>0</v>
      </c>
      <c r="I87" s="61" t="e">
        <f t="shared" si="4"/>
        <v>#DIV/0!</v>
      </c>
      <c r="J87" s="71"/>
      <c r="K87" s="71"/>
    </row>
    <row r="88" spans="1:11" x14ac:dyDescent="0.25">
      <c r="A88" s="107"/>
      <c r="B88" s="50">
        <v>44743</v>
      </c>
      <c r="C88" s="51" t="s">
        <v>121</v>
      </c>
      <c r="D88" s="37">
        <v>50000450</v>
      </c>
      <c r="E88" s="38">
        <v>694</v>
      </c>
      <c r="F88" s="38"/>
      <c r="G88" s="38"/>
      <c r="H88" s="38">
        <f t="shared" si="2"/>
        <v>194</v>
      </c>
      <c r="I88" s="61">
        <f t="shared" si="4"/>
        <v>3.5773195876288661</v>
      </c>
      <c r="J88" s="71"/>
      <c r="K88" s="71"/>
    </row>
    <row r="89" spans="1:11" x14ac:dyDescent="0.25">
      <c r="A89" s="107"/>
      <c r="B89" s="50">
        <v>44743</v>
      </c>
      <c r="C89" s="51" t="s">
        <v>122</v>
      </c>
      <c r="D89" s="37">
        <v>40000100</v>
      </c>
      <c r="E89" s="38">
        <v>225</v>
      </c>
      <c r="F89" s="38"/>
      <c r="G89" s="38">
        <v>400</v>
      </c>
      <c r="H89" s="38">
        <f>E89-E102+G89</f>
        <v>375</v>
      </c>
      <c r="I89" s="61">
        <f t="shared" si="4"/>
        <v>0.6</v>
      </c>
      <c r="J89" s="71"/>
      <c r="K89" s="71"/>
    </row>
    <row r="90" spans="1:11" x14ac:dyDescent="0.25">
      <c r="A90" s="107"/>
      <c r="B90" s="50">
        <v>44743</v>
      </c>
      <c r="C90" s="51" t="s">
        <v>123</v>
      </c>
      <c r="D90" s="37">
        <v>50000281</v>
      </c>
      <c r="E90" s="38">
        <v>24000</v>
      </c>
      <c r="F90" s="38"/>
      <c r="G90" s="38"/>
      <c r="H90" s="38">
        <f t="shared" si="2"/>
        <v>24000</v>
      </c>
      <c r="I90" s="61">
        <f t="shared" si="4"/>
        <v>1</v>
      </c>
      <c r="J90" s="71"/>
      <c r="K90" s="71"/>
    </row>
    <row r="91" spans="1:11" x14ac:dyDescent="0.25">
      <c r="A91" s="107"/>
      <c r="B91" s="50">
        <v>44743</v>
      </c>
      <c r="C91" s="51" t="s">
        <v>124</v>
      </c>
      <c r="D91" s="37">
        <v>60000055</v>
      </c>
      <c r="E91" s="38">
        <v>6</v>
      </c>
      <c r="F91" s="38"/>
      <c r="G91" s="38"/>
      <c r="H91" s="38">
        <f t="shared" si="2"/>
        <v>6</v>
      </c>
      <c r="I91" s="61">
        <f t="shared" si="4"/>
        <v>1</v>
      </c>
      <c r="J91" s="71"/>
      <c r="K91" s="71"/>
    </row>
    <row r="92" spans="1:11" x14ac:dyDescent="0.25">
      <c r="A92" s="107"/>
      <c r="B92" s="50">
        <v>44743</v>
      </c>
      <c r="C92" s="51" t="s">
        <v>135</v>
      </c>
      <c r="D92" s="37">
        <v>7300004284</v>
      </c>
      <c r="E92" s="38"/>
      <c r="F92" s="38"/>
      <c r="G92" s="38"/>
      <c r="H92" s="38">
        <f t="shared" si="2"/>
        <v>0</v>
      </c>
      <c r="I92" s="61" t="e">
        <f t="shared" si="4"/>
        <v>#DIV/0!</v>
      </c>
      <c r="J92" s="71"/>
      <c r="K92" s="71"/>
    </row>
    <row r="93" spans="1:11" x14ac:dyDescent="0.25">
      <c r="A93" s="107"/>
      <c r="B93" s="50">
        <v>44743</v>
      </c>
      <c r="C93" s="51" t="s">
        <v>136</v>
      </c>
      <c r="D93" s="37">
        <v>7300028060</v>
      </c>
      <c r="E93" s="38"/>
      <c r="F93" s="38"/>
      <c r="G93" s="38"/>
      <c r="H93" s="38">
        <f t="shared" si="2"/>
        <v>0</v>
      </c>
      <c r="I93" s="61" t="e">
        <f t="shared" si="4"/>
        <v>#DIV/0!</v>
      </c>
      <c r="J93" s="71"/>
      <c r="K93" s="71"/>
    </row>
    <row r="94" spans="1:11" x14ac:dyDescent="0.25">
      <c r="A94" s="107"/>
      <c r="B94" s="50">
        <v>44743</v>
      </c>
      <c r="C94" s="51" t="s">
        <v>137</v>
      </c>
      <c r="D94" s="37">
        <v>7300001782</v>
      </c>
      <c r="E94" s="38"/>
      <c r="F94" s="38"/>
      <c r="G94" s="38"/>
      <c r="H94" s="38">
        <f t="shared" si="2"/>
        <v>0</v>
      </c>
      <c r="I94" s="61" t="e">
        <f t="shared" si="4"/>
        <v>#DIV/0!</v>
      </c>
      <c r="J94" s="71"/>
      <c r="K94" s="71"/>
    </row>
    <row r="95" spans="1:11" x14ac:dyDescent="0.25">
      <c r="A95" s="107">
        <v>44800</v>
      </c>
      <c r="B95" s="50">
        <v>44774</v>
      </c>
      <c r="C95" s="51" t="s">
        <v>109</v>
      </c>
      <c r="D95" s="37">
        <v>50000204</v>
      </c>
      <c r="E95" s="38">
        <v>555</v>
      </c>
      <c r="F95" s="38"/>
      <c r="G95" s="38"/>
      <c r="H95" s="38">
        <f t="shared" ref="H95:H107" si="5">E95-E108+G95</f>
        <v>555</v>
      </c>
      <c r="I95" s="61">
        <f t="shared" si="3"/>
        <v>1</v>
      </c>
      <c r="J95" s="71"/>
      <c r="K95" s="71"/>
    </row>
    <row r="96" spans="1:11" x14ac:dyDescent="0.25">
      <c r="A96" s="107"/>
      <c r="B96" s="50">
        <v>44774</v>
      </c>
      <c r="C96" s="51" t="s">
        <v>112</v>
      </c>
      <c r="D96" s="37">
        <v>50000177</v>
      </c>
      <c r="E96" s="38">
        <v>1115</v>
      </c>
      <c r="F96" s="38"/>
      <c r="G96" s="38"/>
      <c r="H96" s="38">
        <f t="shared" si="5"/>
        <v>1115</v>
      </c>
      <c r="I96" s="61">
        <f t="shared" si="3"/>
        <v>1</v>
      </c>
      <c r="J96" s="71"/>
      <c r="K96" s="71"/>
    </row>
    <row r="97" spans="1:11" x14ac:dyDescent="0.25">
      <c r="A97" s="107"/>
      <c r="B97" s="50">
        <v>44774</v>
      </c>
      <c r="C97" s="51" t="s">
        <v>106</v>
      </c>
      <c r="D97" s="37">
        <v>50000178</v>
      </c>
      <c r="E97" s="38">
        <v>10950</v>
      </c>
      <c r="F97" s="38"/>
      <c r="G97" s="38"/>
      <c r="H97" s="38">
        <f t="shared" si="5"/>
        <v>10950</v>
      </c>
      <c r="I97" s="61">
        <f t="shared" si="3"/>
        <v>1</v>
      </c>
      <c r="J97" s="71"/>
      <c r="K97" s="71"/>
    </row>
    <row r="98" spans="1:11" x14ac:dyDescent="0.25">
      <c r="A98" s="107"/>
      <c r="B98" s="50">
        <v>44774</v>
      </c>
      <c r="C98" s="51" t="s">
        <v>100</v>
      </c>
      <c r="D98" s="52">
        <v>50000264</v>
      </c>
      <c r="E98" s="38">
        <v>81600</v>
      </c>
      <c r="F98" s="38"/>
      <c r="G98" s="38"/>
      <c r="H98" s="38">
        <f t="shared" si="5"/>
        <v>81600</v>
      </c>
      <c r="I98" s="61">
        <f>E98/H98</f>
        <v>1</v>
      </c>
      <c r="J98" s="71"/>
      <c r="K98" s="71"/>
    </row>
    <row r="99" spans="1:11" x14ac:dyDescent="0.25">
      <c r="A99" s="107"/>
      <c r="B99" s="50">
        <v>44774</v>
      </c>
      <c r="C99" s="51" t="s">
        <v>104</v>
      </c>
      <c r="D99" s="37">
        <v>50000390</v>
      </c>
      <c r="E99" s="38">
        <v>7440</v>
      </c>
      <c r="F99" s="38"/>
      <c r="G99" s="38"/>
      <c r="H99" s="38">
        <f t="shared" si="5"/>
        <v>7440</v>
      </c>
      <c r="I99" s="61">
        <f t="shared" si="3"/>
        <v>1</v>
      </c>
      <c r="J99" s="71"/>
      <c r="K99" s="71"/>
    </row>
    <row r="100" spans="1:11" x14ac:dyDescent="0.25">
      <c r="A100" s="107"/>
      <c r="B100" s="50">
        <v>44774</v>
      </c>
      <c r="C100" s="51" t="s">
        <v>120</v>
      </c>
      <c r="D100" s="37">
        <v>50000333</v>
      </c>
      <c r="E100" s="38">
        <v>3594</v>
      </c>
      <c r="F100" s="38"/>
      <c r="G100" s="38"/>
      <c r="H100" s="38">
        <f t="shared" si="5"/>
        <v>3594</v>
      </c>
      <c r="I100" s="61">
        <f t="shared" si="3"/>
        <v>1</v>
      </c>
      <c r="J100" s="71"/>
      <c r="K100" s="71"/>
    </row>
    <row r="101" spans="1:11" x14ac:dyDescent="0.25">
      <c r="A101" s="107"/>
      <c r="B101" s="50">
        <v>44774</v>
      </c>
      <c r="C101" s="51" t="s">
        <v>121</v>
      </c>
      <c r="D101" s="37">
        <v>50000450</v>
      </c>
      <c r="E101" s="38">
        <v>500</v>
      </c>
      <c r="F101" s="38"/>
      <c r="G101" s="38"/>
      <c r="H101" s="38">
        <f t="shared" si="5"/>
        <v>500</v>
      </c>
      <c r="I101" s="61">
        <f t="shared" si="3"/>
        <v>1</v>
      </c>
      <c r="J101" s="71"/>
      <c r="K101" s="71"/>
    </row>
    <row r="102" spans="1:11" x14ac:dyDescent="0.25">
      <c r="A102" s="107"/>
      <c r="B102" s="50">
        <v>44774</v>
      </c>
      <c r="C102" s="51" t="s">
        <v>122</v>
      </c>
      <c r="D102" s="37">
        <v>40000100</v>
      </c>
      <c r="E102" s="38">
        <v>250</v>
      </c>
      <c r="F102" s="38"/>
      <c r="G102" s="38">
        <v>400</v>
      </c>
      <c r="H102" s="38">
        <f t="shared" si="5"/>
        <v>225</v>
      </c>
      <c r="I102" s="61">
        <f t="shared" si="3"/>
        <v>1.1111111111111112</v>
      </c>
      <c r="J102" s="71"/>
      <c r="K102" s="71"/>
    </row>
    <row r="103" spans="1:11" x14ac:dyDescent="0.25">
      <c r="A103" s="107"/>
      <c r="B103" s="50">
        <v>44774</v>
      </c>
      <c r="C103" s="51" t="s">
        <v>123</v>
      </c>
      <c r="D103" s="37">
        <v>50000281</v>
      </c>
      <c r="E103" s="38"/>
      <c r="F103" s="38"/>
      <c r="G103" s="38"/>
      <c r="H103" s="38">
        <f t="shared" si="5"/>
        <v>0</v>
      </c>
      <c r="I103" s="61" t="e">
        <f t="shared" si="3"/>
        <v>#DIV/0!</v>
      </c>
      <c r="J103" s="71"/>
      <c r="K103" s="71"/>
    </row>
    <row r="104" spans="1:11" x14ac:dyDescent="0.25">
      <c r="A104" s="107"/>
      <c r="B104" s="50">
        <v>44774</v>
      </c>
      <c r="C104" s="51" t="s">
        <v>124</v>
      </c>
      <c r="D104" s="37">
        <v>60000055</v>
      </c>
      <c r="E104" s="38"/>
      <c r="F104" s="38"/>
      <c r="G104" s="38"/>
      <c r="H104" s="38">
        <f t="shared" si="5"/>
        <v>0</v>
      </c>
      <c r="I104" s="61" t="e">
        <f t="shared" si="3"/>
        <v>#DIV/0!</v>
      </c>
      <c r="J104" s="71"/>
      <c r="K104" s="71"/>
    </row>
    <row r="105" spans="1:11" x14ac:dyDescent="0.25">
      <c r="A105" s="107"/>
      <c r="B105" s="50">
        <v>44774</v>
      </c>
      <c r="C105" s="51" t="s">
        <v>135</v>
      </c>
      <c r="D105" s="37">
        <v>7300004284</v>
      </c>
      <c r="E105" s="38"/>
      <c r="F105" s="38"/>
      <c r="G105" s="38"/>
      <c r="H105" s="38">
        <f t="shared" si="5"/>
        <v>0</v>
      </c>
      <c r="I105" s="61" t="e">
        <f t="shared" si="3"/>
        <v>#DIV/0!</v>
      </c>
      <c r="J105" s="71"/>
      <c r="K105" s="71"/>
    </row>
    <row r="106" spans="1:11" x14ac:dyDescent="0.25">
      <c r="A106" s="107"/>
      <c r="B106" s="50">
        <v>44774</v>
      </c>
      <c r="C106" s="51" t="s">
        <v>136</v>
      </c>
      <c r="D106" s="37">
        <v>7300028060</v>
      </c>
      <c r="E106" s="38"/>
      <c r="F106" s="38"/>
      <c r="G106" s="38"/>
      <c r="H106" s="38">
        <f t="shared" si="5"/>
        <v>0</v>
      </c>
      <c r="I106" s="61" t="e">
        <f t="shared" si="3"/>
        <v>#DIV/0!</v>
      </c>
      <c r="J106" s="71"/>
      <c r="K106" s="71"/>
    </row>
    <row r="107" spans="1:11" x14ac:dyDescent="0.25">
      <c r="A107" s="107"/>
      <c r="B107" s="50">
        <v>44774</v>
      </c>
      <c r="C107" s="51" t="s">
        <v>137</v>
      </c>
      <c r="D107" s="37">
        <v>7300001782</v>
      </c>
      <c r="E107" s="38"/>
      <c r="F107" s="38"/>
      <c r="G107" s="38"/>
      <c r="H107" s="38">
        <f t="shared" si="5"/>
        <v>0</v>
      </c>
      <c r="I107" s="61" t="e">
        <f t="shared" si="3"/>
        <v>#DIV/0!</v>
      </c>
      <c r="J107" s="72">
        <v>900</v>
      </c>
      <c r="K107" s="71"/>
    </row>
    <row r="108" spans="1:11" x14ac:dyDescent="0.25">
      <c r="A108" s="107">
        <v>44833</v>
      </c>
      <c r="B108" s="50">
        <v>44805</v>
      </c>
      <c r="C108" s="51" t="s">
        <v>109</v>
      </c>
      <c r="D108" s="37">
        <v>50000204</v>
      </c>
      <c r="E108" s="38"/>
      <c r="F108" s="38"/>
      <c r="G108" s="38">
        <v>1314</v>
      </c>
      <c r="H108" s="38">
        <f t="shared" si="2"/>
        <v>1314</v>
      </c>
      <c r="I108" s="61">
        <f t="shared" si="3"/>
        <v>0</v>
      </c>
      <c r="J108" s="71"/>
      <c r="K108" s="71"/>
    </row>
    <row r="109" spans="1:11" x14ac:dyDescent="0.25">
      <c r="A109" s="107"/>
      <c r="B109" s="50">
        <v>44805</v>
      </c>
      <c r="C109" s="51" t="s">
        <v>112</v>
      </c>
      <c r="D109" s="37">
        <v>50000177</v>
      </c>
      <c r="E109" s="38"/>
      <c r="F109" s="38"/>
      <c r="G109" s="38">
        <v>1284</v>
      </c>
      <c r="H109" s="38">
        <f t="shared" si="2"/>
        <v>1284</v>
      </c>
      <c r="I109" s="61">
        <f t="shared" si="3"/>
        <v>0</v>
      </c>
      <c r="J109" s="71"/>
      <c r="K109" s="71"/>
    </row>
    <row r="110" spans="1:11" x14ac:dyDescent="0.25">
      <c r="A110" s="107"/>
      <c r="B110" s="50">
        <v>44805</v>
      </c>
      <c r="C110" s="51" t="s">
        <v>106</v>
      </c>
      <c r="D110" s="37">
        <v>50000178</v>
      </c>
      <c r="E110" s="38"/>
      <c r="F110" s="38"/>
      <c r="G110" s="38"/>
      <c r="H110" s="38">
        <f t="shared" si="2"/>
        <v>0</v>
      </c>
      <c r="I110" s="61" t="e">
        <f t="shared" si="3"/>
        <v>#DIV/0!</v>
      </c>
      <c r="J110" s="71"/>
      <c r="K110" s="71"/>
    </row>
    <row r="111" spans="1:11" x14ac:dyDescent="0.25">
      <c r="A111" s="107"/>
      <c r="B111" s="50">
        <v>44805</v>
      </c>
      <c r="C111" s="51" t="s">
        <v>100</v>
      </c>
      <c r="D111" s="52">
        <v>50000264</v>
      </c>
      <c r="E111" s="38"/>
      <c r="F111" s="38"/>
      <c r="G111" s="38"/>
      <c r="H111" s="38">
        <f t="shared" si="2"/>
        <v>0</v>
      </c>
      <c r="I111" s="61" t="e">
        <f t="shared" si="3"/>
        <v>#DIV/0!</v>
      </c>
      <c r="J111" s="71"/>
      <c r="K111" s="71"/>
    </row>
    <row r="112" spans="1:11" x14ac:dyDescent="0.25">
      <c r="A112" s="107"/>
      <c r="B112" s="50">
        <v>44805</v>
      </c>
      <c r="C112" s="51" t="s">
        <v>104</v>
      </c>
      <c r="D112" s="37">
        <v>50000390</v>
      </c>
      <c r="E112" s="38"/>
      <c r="F112" s="38"/>
      <c r="G112" s="38"/>
      <c r="H112" s="38">
        <f t="shared" si="2"/>
        <v>0</v>
      </c>
      <c r="I112" s="61" t="e">
        <f t="shared" si="3"/>
        <v>#DIV/0!</v>
      </c>
      <c r="J112" s="71"/>
      <c r="K112" s="71"/>
    </row>
    <row r="113" spans="1:11" x14ac:dyDescent="0.25">
      <c r="A113" s="107"/>
      <c r="B113" s="50">
        <v>44805</v>
      </c>
      <c r="C113" s="51" t="s">
        <v>120</v>
      </c>
      <c r="D113" s="37">
        <v>50000333</v>
      </c>
      <c r="E113" s="38"/>
      <c r="F113" s="38"/>
      <c r="G113" s="38"/>
      <c r="H113" s="38">
        <f t="shared" si="2"/>
        <v>0</v>
      </c>
      <c r="I113" s="61" t="e">
        <f t="shared" si="3"/>
        <v>#DIV/0!</v>
      </c>
      <c r="J113" s="71"/>
      <c r="K113" s="71"/>
    </row>
    <row r="114" spans="1:11" x14ac:dyDescent="0.25">
      <c r="A114" s="107"/>
      <c r="B114" s="50">
        <v>44805</v>
      </c>
      <c r="C114" s="51" t="s">
        <v>121</v>
      </c>
      <c r="D114" s="37">
        <v>50000450</v>
      </c>
      <c r="E114" s="38"/>
      <c r="F114" s="38"/>
      <c r="G114" s="38"/>
      <c r="H114" s="38">
        <f t="shared" si="2"/>
        <v>0</v>
      </c>
      <c r="I114" s="61" t="e">
        <f t="shared" si="3"/>
        <v>#DIV/0!</v>
      </c>
      <c r="J114" s="71"/>
      <c r="K114" s="71"/>
    </row>
    <row r="115" spans="1:11" x14ac:dyDescent="0.25">
      <c r="A115" s="107"/>
      <c r="B115" s="50">
        <v>44805</v>
      </c>
      <c r="C115" s="51" t="s">
        <v>122</v>
      </c>
      <c r="D115" s="37">
        <v>40000100</v>
      </c>
      <c r="E115" s="38">
        <v>425</v>
      </c>
      <c r="F115" s="38"/>
      <c r="G115" s="38"/>
      <c r="H115" s="38">
        <f t="shared" si="2"/>
        <v>425</v>
      </c>
      <c r="I115" s="61">
        <f t="shared" si="3"/>
        <v>1</v>
      </c>
      <c r="J115" s="71"/>
      <c r="K115" s="71"/>
    </row>
    <row r="116" spans="1:11" x14ac:dyDescent="0.25">
      <c r="A116" s="107"/>
      <c r="B116" s="50">
        <v>44805</v>
      </c>
      <c r="C116" s="51" t="s">
        <v>123</v>
      </c>
      <c r="D116" s="37">
        <v>50000281</v>
      </c>
      <c r="E116" s="38"/>
      <c r="F116" s="38"/>
      <c r="G116" s="38"/>
      <c r="H116" s="38">
        <f t="shared" si="2"/>
        <v>0</v>
      </c>
      <c r="I116" s="61" t="e">
        <f t="shared" si="3"/>
        <v>#DIV/0!</v>
      </c>
      <c r="J116" s="71"/>
      <c r="K116" s="71"/>
    </row>
    <row r="117" spans="1:11" x14ac:dyDescent="0.25">
      <c r="A117" s="107"/>
      <c r="B117" s="50">
        <v>44805</v>
      </c>
      <c r="C117" s="51" t="s">
        <v>124</v>
      </c>
      <c r="D117" s="37">
        <v>60000055</v>
      </c>
      <c r="E117" s="38"/>
      <c r="F117" s="38"/>
      <c r="G117" s="38"/>
      <c r="H117" s="38">
        <f t="shared" si="2"/>
        <v>0</v>
      </c>
      <c r="I117" s="61" t="e">
        <f t="shared" si="3"/>
        <v>#DIV/0!</v>
      </c>
      <c r="J117" s="71"/>
      <c r="K117" s="71"/>
    </row>
    <row r="118" spans="1:11" x14ac:dyDescent="0.25">
      <c r="A118" s="107"/>
      <c r="B118" s="50">
        <v>44805</v>
      </c>
      <c r="C118" s="51" t="s">
        <v>135</v>
      </c>
      <c r="D118" s="37">
        <v>7300004284</v>
      </c>
      <c r="E118" s="38"/>
      <c r="F118" s="38"/>
      <c r="G118" s="38"/>
      <c r="H118" s="38">
        <f t="shared" si="2"/>
        <v>0</v>
      </c>
      <c r="I118" s="61" t="e">
        <f t="shared" si="3"/>
        <v>#DIV/0!</v>
      </c>
      <c r="J118" s="71"/>
      <c r="K118" s="71"/>
    </row>
    <row r="119" spans="1:11" x14ac:dyDescent="0.25">
      <c r="A119" s="107"/>
      <c r="B119" s="50">
        <v>44805</v>
      </c>
      <c r="C119" s="51" t="s">
        <v>136</v>
      </c>
      <c r="D119" s="37">
        <v>7300028060</v>
      </c>
      <c r="E119" s="38"/>
      <c r="F119" s="38"/>
      <c r="G119" s="38"/>
      <c r="H119" s="38">
        <f t="shared" si="2"/>
        <v>0</v>
      </c>
      <c r="I119" s="61" t="e">
        <f t="shared" si="3"/>
        <v>#DIV/0!</v>
      </c>
      <c r="J119" s="71"/>
      <c r="K119" s="71"/>
    </row>
    <row r="120" spans="1:11" x14ac:dyDescent="0.25">
      <c r="A120" s="107"/>
      <c r="B120" s="50">
        <v>44805</v>
      </c>
      <c r="C120" s="51" t="s">
        <v>137</v>
      </c>
      <c r="D120" s="37">
        <v>7300001782</v>
      </c>
      <c r="E120" s="38"/>
      <c r="F120" s="38"/>
      <c r="G120" s="38"/>
      <c r="H120" s="38">
        <f t="shared" si="2"/>
        <v>0</v>
      </c>
      <c r="I120" s="61" t="e">
        <f t="shared" si="3"/>
        <v>#DIV/0!</v>
      </c>
      <c r="J120" s="71"/>
      <c r="K120" s="71"/>
    </row>
    <row r="121" spans="1:11" x14ac:dyDescent="0.25">
      <c r="A121" s="107"/>
      <c r="B121" s="50">
        <v>44835</v>
      </c>
      <c r="C121" s="53" t="s">
        <v>109</v>
      </c>
      <c r="D121" s="37">
        <v>50000204</v>
      </c>
      <c r="E121" s="38"/>
      <c r="F121" s="38"/>
      <c r="G121" s="38"/>
      <c r="H121" s="38">
        <f t="shared" si="2"/>
        <v>0</v>
      </c>
      <c r="I121" s="61" t="e">
        <f t="shared" si="3"/>
        <v>#DIV/0!</v>
      </c>
      <c r="J121" s="71"/>
      <c r="K121" s="71"/>
    </row>
    <row r="122" spans="1:11" x14ac:dyDescent="0.25">
      <c r="A122" s="107"/>
      <c r="B122" s="50">
        <v>44835</v>
      </c>
      <c r="C122" s="53" t="s">
        <v>112</v>
      </c>
      <c r="D122" s="37">
        <v>50000177</v>
      </c>
      <c r="E122" s="38"/>
      <c r="F122" s="38"/>
      <c r="G122" s="38"/>
      <c r="H122" s="38">
        <f t="shared" si="2"/>
        <v>0</v>
      </c>
      <c r="I122" s="61" t="e">
        <f t="shared" si="3"/>
        <v>#DIV/0!</v>
      </c>
      <c r="J122" s="71"/>
      <c r="K122" s="71"/>
    </row>
    <row r="123" spans="1:11" x14ac:dyDescent="0.25">
      <c r="A123" s="107"/>
      <c r="B123" s="50">
        <v>44835</v>
      </c>
      <c r="C123" s="53" t="s">
        <v>106</v>
      </c>
      <c r="D123" s="37">
        <v>50000178</v>
      </c>
      <c r="E123" s="38"/>
      <c r="F123" s="38"/>
      <c r="G123" s="38"/>
      <c r="H123" s="38">
        <f t="shared" si="2"/>
        <v>0</v>
      </c>
      <c r="I123" s="61" t="e">
        <f t="shared" si="3"/>
        <v>#DIV/0!</v>
      </c>
      <c r="J123" s="71"/>
      <c r="K123" s="71"/>
    </row>
    <row r="124" spans="1:11" x14ac:dyDescent="0.25">
      <c r="A124" s="107"/>
      <c r="B124" s="50">
        <v>44835</v>
      </c>
      <c r="C124" s="53" t="s">
        <v>100</v>
      </c>
      <c r="D124" s="52">
        <v>50000264</v>
      </c>
      <c r="E124" s="38"/>
      <c r="F124" s="38"/>
      <c r="G124" s="38"/>
      <c r="H124" s="38">
        <f t="shared" si="2"/>
        <v>0</v>
      </c>
      <c r="I124" s="61" t="e">
        <f t="shared" si="3"/>
        <v>#DIV/0!</v>
      </c>
      <c r="J124" s="71"/>
      <c r="K124" s="71"/>
    </row>
    <row r="125" spans="1:11" x14ac:dyDescent="0.25">
      <c r="A125" s="107"/>
      <c r="B125" s="50">
        <v>44835</v>
      </c>
      <c r="C125" s="53" t="s">
        <v>104</v>
      </c>
      <c r="D125" s="37">
        <v>50000390</v>
      </c>
      <c r="E125" s="38"/>
      <c r="F125" s="38"/>
      <c r="G125" s="38"/>
      <c r="H125" s="38">
        <f t="shared" si="2"/>
        <v>0</v>
      </c>
      <c r="I125" s="61" t="e">
        <f t="shared" si="3"/>
        <v>#DIV/0!</v>
      </c>
      <c r="J125" s="71"/>
      <c r="K125" s="71"/>
    </row>
    <row r="126" spans="1:11" x14ac:dyDescent="0.25">
      <c r="A126" s="107"/>
      <c r="B126" s="50">
        <v>44835</v>
      </c>
      <c r="C126" s="53" t="s">
        <v>120</v>
      </c>
      <c r="D126" s="37">
        <v>50000333</v>
      </c>
      <c r="E126" s="38"/>
      <c r="F126" s="38"/>
      <c r="G126" s="38"/>
      <c r="H126" s="38">
        <f t="shared" si="2"/>
        <v>0</v>
      </c>
      <c r="I126" s="61" t="e">
        <f t="shared" si="3"/>
        <v>#DIV/0!</v>
      </c>
      <c r="J126" s="71"/>
      <c r="K126" s="71"/>
    </row>
    <row r="127" spans="1:11" x14ac:dyDescent="0.25">
      <c r="A127" s="107"/>
      <c r="B127" s="50">
        <v>44835</v>
      </c>
      <c r="C127" s="53" t="s">
        <v>121</v>
      </c>
      <c r="D127" s="37">
        <v>50000450</v>
      </c>
      <c r="E127" s="38"/>
      <c r="F127" s="38"/>
      <c r="G127" s="38"/>
      <c r="H127" s="38">
        <f t="shared" si="2"/>
        <v>0</v>
      </c>
      <c r="I127" s="61" t="e">
        <f t="shared" si="3"/>
        <v>#DIV/0!</v>
      </c>
      <c r="J127" s="71"/>
      <c r="K127" s="71"/>
    </row>
    <row r="128" spans="1:11" x14ac:dyDescent="0.25">
      <c r="A128" s="107"/>
      <c r="B128" s="50">
        <v>44835</v>
      </c>
      <c r="C128" s="53" t="s">
        <v>122</v>
      </c>
      <c r="D128" s="37">
        <v>40000100</v>
      </c>
      <c r="E128" s="38"/>
      <c r="F128" s="38"/>
      <c r="G128" s="38"/>
      <c r="H128" s="38">
        <f t="shared" si="2"/>
        <v>0</v>
      </c>
      <c r="I128" s="61" t="e">
        <f t="shared" si="3"/>
        <v>#DIV/0!</v>
      </c>
      <c r="J128" s="71"/>
      <c r="K128" s="71"/>
    </row>
    <row r="129" spans="1:11" x14ac:dyDescent="0.25">
      <c r="A129" s="107"/>
      <c r="B129" s="50">
        <v>44835</v>
      </c>
      <c r="C129" s="53" t="s">
        <v>123</v>
      </c>
      <c r="D129" s="37">
        <v>50000281</v>
      </c>
      <c r="E129" s="38"/>
      <c r="F129" s="38"/>
      <c r="G129" s="38"/>
      <c r="H129" s="38">
        <f t="shared" si="2"/>
        <v>0</v>
      </c>
      <c r="I129" s="61" t="e">
        <f t="shared" si="3"/>
        <v>#DIV/0!</v>
      </c>
      <c r="J129" s="71"/>
      <c r="K129" s="71"/>
    </row>
    <row r="130" spans="1:11" x14ac:dyDescent="0.25">
      <c r="A130" s="107"/>
      <c r="B130" s="50">
        <v>44835</v>
      </c>
      <c r="C130" s="53" t="s">
        <v>124</v>
      </c>
      <c r="D130" s="37">
        <v>60000055</v>
      </c>
      <c r="E130" s="38"/>
      <c r="F130" s="38"/>
      <c r="G130" s="38"/>
      <c r="H130" s="38">
        <f t="shared" si="2"/>
        <v>0</v>
      </c>
      <c r="I130" s="61" t="e">
        <f t="shared" si="3"/>
        <v>#DIV/0!</v>
      </c>
      <c r="J130" s="71"/>
      <c r="K130" s="71"/>
    </row>
    <row r="131" spans="1:11" x14ac:dyDescent="0.25">
      <c r="A131" s="107"/>
      <c r="B131" s="50">
        <v>44835</v>
      </c>
      <c r="C131" s="53" t="s">
        <v>135</v>
      </c>
      <c r="D131" s="37">
        <v>7300004284</v>
      </c>
      <c r="E131" s="38"/>
      <c r="F131" s="38"/>
      <c r="G131" s="38"/>
      <c r="H131" s="38">
        <f t="shared" si="2"/>
        <v>0</v>
      </c>
      <c r="I131" s="61" t="e">
        <f t="shared" si="3"/>
        <v>#DIV/0!</v>
      </c>
      <c r="J131" s="71"/>
      <c r="K131" s="71"/>
    </row>
    <row r="132" spans="1:11" x14ac:dyDescent="0.25">
      <c r="A132" s="107"/>
      <c r="B132" s="50">
        <v>44835</v>
      </c>
      <c r="C132" s="53" t="s">
        <v>136</v>
      </c>
      <c r="D132" s="37">
        <v>7300028060</v>
      </c>
      <c r="E132" s="38"/>
      <c r="F132" s="38"/>
      <c r="G132" s="38"/>
      <c r="H132" s="38">
        <f t="shared" si="2"/>
        <v>0</v>
      </c>
      <c r="I132" s="61" t="e">
        <f t="shared" si="3"/>
        <v>#DIV/0!</v>
      </c>
      <c r="J132" s="71"/>
      <c r="K132" s="71"/>
    </row>
    <row r="133" spans="1:11" x14ac:dyDescent="0.25">
      <c r="A133" s="107"/>
      <c r="B133" s="50">
        <v>44835</v>
      </c>
      <c r="C133" s="53" t="s">
        <v>137</v>
      </c>
      <c r="D133" s="37">
        <v>7300001782</v>
      </c>
      <c r="E133" s="38"/>
      <c r="F133" s="38"/>
      <c r="G133" s="38"/>
      <c r="H133" s="38">
        <f t="shared" ref="H133:H159" si="6">E133-E146+G133</f>
        <v>0</v>
      </c>
      <c r="I133" s="61" t="e">
        <f t="shared" si="3"/>
        <v>#DIV/0!</v>
      </c>
      <c r="J133" s="71"/>
      <c r="K133" s="71"/>
    </row>
    <row r="134" spans="1:11" x14ac:dyDescent="0.25">
      <c r="A134" s="107"/>
      <c r="B134" s="50">
        <v>44866</v>
      </c>
      <c r="C134" s="53" t="s">
        <v>109</v>
      </c>
      <c r="D134" s="37">
        <v>50000204</v>
      </c>
      <c r="E134" s="38"/>
      <c r="F134" s="38"/>
      <c r="G134" s="38"/>
      <c r="H134" s="38">
        <f t="shared" si="6"/>
        <v>0</v>
      </c>
      <c r="I134" s="61" t="e">
        <f t="shared" si="3"/>
        <v>#DIV/0!</v>
      </c>
      <c r="J134" s="71"/>
      <c r="K134" s="71"/>
    </row>
    <row r="135" spans="1:11" x14ac:dyDescent="0.25">
      <c r="A135" s="107"/>
      <c r="B135" s="50">
        <v>44866</v>
      </c>
      <c r="C135" s="53" t="s">
        <v>112</v>
      </c>
      <c r="D135" s="37">
        <v>50000177</v>
      </c>
      <c r="E135" s="38"/>
      <c r="F135" s="38"/>
      <c r="G135" s="38"/>
      <c r="H135" s="38">
        <f t="shared" si="6"/>
        <v>0</v>
      </c>
      <c r="I135" s="61" t="e">
        <f t="shared" si="3"/>
        <v>#DIV/0!</v>
      </c>
      <c r="J135" s="71"/>
      <c r="K135" s="71"/>
    </row>
    <row r="136" spans="1:11" x14ac:dyDescent="0.25">
      <c r="A136" s="107"/>
      <c r="B136" s="50">
        <v>44866</v>
      </c>
      <c r="C136" s="53" t="s">
        <v>106</v>
      </c>
      <c r="D136" s="37">
        <v>50000178</v>
      </c>
      <c r="E136" s="38"/>
      <c r="F136" s="38"/>
      <c r="G136" s="38"/>
      <c r="H136" s="38">
        <f t="shared" si="6"/>
        <v>0</v>
      </c>
      <c r="I136" s="61" t="e">
        <f t="shared" si="3"/>
        <v>#DIV/0!</v>
      </c>
      <c r="J136" s="71"/>
      <c r="K136" s="71"/>
    </row>
    <row r="137" spans="1:11" x14ac:dyDescent="0.25">
      <c r="A137" s="107"/>
      <c r="B137" s="50">
        <v>44866</v>
      </c>
      <c r="C137" s="53" t="s">
        <v>100</v>
      </c>
      <c r="D137" s="52">
        <v>50000264</v>
      </c>
      <c r="E137" s="38"/>
      <c r="F137" s="38"/>
      <c r="G137" s="38"/>
      <c r="H137" s="38">
        <f t="shared" si="6"/>
        <v>0</v>
      </c>
      <c r="I137" s="61" t="e">
        <f t="shared" si="3"/>
        <v>#DIV/0!</v>
      </c>
      <c r="J137" s="71"/>
      <c r="K137" s="71"/>
    </row>
    <row r="138" spans="1:11" x14ac:dyDescent="0.25">
      <c r="A138" s="107"/>
      <c r="B138" s="50">
        <v>44866</v>
      </c>
      <c r="C138" s="53" t="s">
        <v>104</v>
      </c>
      <c r="D138" s="37">
        <v>50000390</v>
      </c>
      <c r="E138" s="38"/>
      <c r="F138" s="38"/>
      <c r="G138" s="38"/>
      <c r="H138" s="38">
        <f t="shared" si="6"/>
        <v>0</v>
      </c>
      <c r="I138" s="61" t="e">
        <f t="shared" si="3"/>
        <v>#DIV/0!</v>
      </c>
      <c r="J138" s="71"/>
      <c r="K138" s="71"/>
    </row>
    <row r="139" spans="1:11" x14ac:dyDescent="0.25">
      <c r="A139" s="107"/>
      <c r="B139" s="50">
        <v>44866</v>
      </c>
      <c r="C139" s="53" t="s">
        <v>120</v>
      </c>
      <c r="D139" s="37">
        <v>50000333</v>
      </c>
      <c r="E139" s="38"/>
      <c r="F139" s="38"/>
      <c r="G139" s="38"/>
      <c r="H139" s="38">
        <f t="shared" si="6"/>
        <v>0</v>
      </c>
      <c r="I139" s="61" t="e">
        <f t="shared" si="3"/>
        <v>#DIV/0!</v>
      </c>
      <c r="J139" s="71"/>
      <c r="K139" s="71"/>
    </row>
    <row r="140" spans="1:11" x14ac:dyDescent="0.25">
      <c r="A140" s="107"/>
      <c r="B140" s="50">
        <v>44866</v>
      </c>
      <c r="C140" s="53" t="s">
        <v>121</v>
      </c>
      <c r="D140" s="37">
        <v>50000450</v>
      </c>
      <c r="E140" s="38"/>
      <c r="F140" s="38"/>
      <c r="G140" s="38"/>
      <c r="H140" s="38">
        <f t="shared" si="6"/>
        <v>0</v>
      </c>
      <c r="I140" s="61" t="e">
        <f t="shared" si="3"/>
        <v>#DIV/0!</v>
      </c>
      <c r="J140" s="71"/>
      <c r="K140" s="71"/>
    </row>
    <row r="141" spans="1:11" x14ac:dyDescent="0.25">
      <c r="A141" s="107"/>
      <c r="B141" s="50">
        <v>44866</v>
      </c>
      <c r="C141" s="53" t="s">
        <v>122</v>
      </c>
      <c r="D141" s="37">
        <v>40000100</v>
      </c>
      <c r="E141" s="38"/>
      <c r="F141" s="38"/>
      <c r="G141" s="38"/>
      <c r="H141" s="38">
        <f t="shared" si="6"/>
        <v>0</v>
      </c>
      <c r="I141" s="61" t="e">
        <f t="shared" si="3"/>
        <v>#DIV/0!</v>
      </c>
      <c r="J141" s="71"/>
      <c r="K141" s="71"/>
    </row>
    <row r="142" spans="1:11" x14ac:dyDescent="0.25">
      <c r="A142" s="107"/>
      <c r="B142" s="50">
        <v>44866</v>
      </c>
      <c r="C142" s="53" t="s">
        <v>123</v>
      </c>
      <c r="D142" s="37">
        <v>50000281</v>
      </c>
      <c r="E142" s="38"/>
      <c r="F142" s="38"/>
      <c r="G142" s="38"/>
      <c r="H142" s="38">
        <f t="shared" si="6"/>
        <v>0</v>
      </c>
      <c r="I142" s="61" t="e">
        <f t="shared" si="3"/>
        <v>#DIV/0!</v>
      </c>
      <c r="J142" s="71"/>
      <c r="K142" s="71"/>
    </row>
    <row r="143" spans="1:11" x14ac:dyDescent="0.25">
      <c r="A143" s="107"/>
      <c r="B143" s="50">
        <v>44866</v>
      </c>
      <c r="C143" s="53" t="s">
        <v>124</v>
      </c>
      <c r="D143" s="37">
        <v>60000055</v>
      </c>
      <c r="E143" s="38"/>
      <c r="F143" s="38"/>
      <c r="G143" s="38"/>
      <c r="H143" s="38">
        <f t="shared" si="6"/>
        <v>0</v>
      </c>
      <c r="I143" s="61" t="e">
        <f t="shared" si="3"/>
        <v>#DIV/0!</v>
      </c>
      <c r="J143" s="71"/>
      <c r="K143" s="71"/>
    </row>
    <row r="144" spans="1:11" x14ac:dyDescent="0.25">
      <c r="A144" s="107"/>
      <c r="B144" s="50">
        <v>44866</v>
      </c>
      <c r="C144" s="53" t="s">
        <v>135</v>
      </c>
      <c r="D144" s="37">
        <v>7300004284</v>
      </c>
      <c r="E144" s="38"/>
      <c r="F144" s="38"/>
      <c r="G144" s="38"/>
      <c r="H144" s="38">
        <f t="shared" si="6"/>
        <v>0</v>
      </c>
      <c r="I144" s="61" t="e">
        <f t="shared" si="3"/>
        <v>#DIV/0!</v>
      </c>
      <c r="J144" s="71"/>
      <c r="K144" s="71"/>
    </row>
    <row r="145" spans="1:11" x14ac:dyDescent="0.25">
      <c r="A145" s="107"/>
      <c r="B145" s="50">
        <v>44866</v>
      </c>
      <c r="C145" s="53" t="s">
        <v>136</v>
      </c>
      <c r="D145" s="37">
        <v>7300028060</v>
      </c>
      <c r="E145" s="38"/>
      <c r="F145" s="38"/>
      <c r="G145" s="38"/>
      <c r="H145" s="38">
        <f t="shared" si="6"/>
        <v>0</v>
      </c>
      <c r="I145" s="61" t="e">
        <f t="shared" si="3"/>
        <v>#DIV/0!</v>
      </c>
      <c r="J145" s="71"/>
      <c r="K145" s="71"/>
    </row>
    <row r="146" spans="1:11" x14ac:dyDescent="0.25">
      <c r="A146" s="107"/>
      <c r="B146" s="50">
        <v>44866</v>
      </c>
      <c r="C146" s="53" t="s">
        <v>137</v>
      </c>
      <c r="D146" s="37">
        <v>7300001782</v>
      </c>
      <c r="E146" s="38"/>
      <c r="F146" s="38"/>
      <c r="G146" s="38"/>
      <c r="H146" s="38">
        <f t="shared" si="6"/>
        <v>0</v>
      </c>
      <c r="I146" s="61" t="e">
        <f t="shared" ref="I146:I159" si="7">E146/H146</f>
        <v>#DIV/0!</v>
      </c>
      <c r="J146" s="71"/>
      <c r="K146" s="71"/>
    </row>
    <row r="147" spans="1:11" x14ac:dyDescent="0.25">
      <c r="A147" s="107"/>
      <c r="B147" s="50">
        <v>44896</v>
      </c>
      <c r="C147" s="53" t="s">
        <v>109</v>
      </c>
      <c r="D147" s="37">
        <v>50000204</v>
      </c>
      <c r="E147" s="38"/>
      <c r="F147" s="38"/>
      <c r="G147" s="38"/>
      <c r="H147" s="38">
        <f t="shared" si="6"/>
        <v>0</v>
      </c>
      <c r="I147" s="61" t="e">
        <f t="shared" si="7"/>
        <v>#DIV/0!</v>
      </c>
      <c r="J147" s="71"/>
      <c r="K147" s="71"/>
    </row>
    <row r="148" spans="1:11" x14ac:dyDescent="0.25">
      <c r="A148" s="107"/>
      <c r="B148" s="50">
        <v>44896</v>
      </c>
      <c r="C148" s="53" t="s">
        <v>112</v>
      </c>
      <c r="D148" s="37">
        <v>50000177</v>
      </c>
      <c r="E148" s="38"/>
      <c r="F148" s="38"/>
      <c r="G148" s="38"/>
      <c r="H148" s="38">
        <f t="shared" si="6"/>
        <v>0</v>
      </c>
      <c r="I148" s="61" t="e">
        <f t="shared" si="7"/>
        <v>#DIV/0!</v>
      </c>
      <c r="J148" s="71"/>
      <c r="K148" s="71"/>
    </row>
    <row r="149" spans="1:11" x14ac:dyDescent="0.25">
      <c r="A149" s="107"/>
      <c r="B149" s="50">
        <v>44896</v>
      </c>
      <c r="C149" s="53" t="s">
        <v>106</v>
      </c>
      <c r="D149" s="37">
        <v>50000178</v>
      </c>
      <c r="E149" s="38"/>
      <c r="F149" s="38"/>
      <c r="G149" s="38"/>
      <c r="H149" s="38">
        <f t="shared" si="6"/>
        <v>0</v>
      </c>
      <c r="I149" s="61" t="e">
        <f t="shared" si="7"/>
        <v>#DIV/0!</v>
      </c>
      <c r="J149" s="71"/>
      <c r="K149" s="71"/>
    </row>
    <row r="150" spans="1:11" x14ac:dyDescent="0.25">
      <c r="A150" s="107"/>
      <c r="B150" s="50">
        <v>44896</v>
      </c>
      <c r="C150" s="53" t="s">
        <v>100</v>
      </c>
      <c r="D150" s="52">
        <v>50000264</v>
      </c>
      <c r="E150" s="38"/>
      <c r="F150" s="38"/>
      <c r="G150" s="38"/>
      <c r="H150" s="38">
        <f t="shared" si="6"/>
        <v>0</v>
      </c>
      <c r="I150" s="61" t="e">
        <f t="shared" si="7"/>
        <v>#DIV/0!</v>
      </c>
      <c r="J150" s="71"/>
      <c r="K150" s="71"/>
    </row>
    <row r="151" spans="1:11" x14ac:dyDescent="0.25">
      <c r="A151" s="107"/>
      <c r="B151" s="50">
        <v>44896</v>
      </c>
      <c r="C151" s="53" t="s">
        <v>104</v>
      </c>
      <c r="D151" s="37">
        <v>50000390</v>
      </c>
      <c r="E151" s="38"/>
      <c r="F151" s="38"/>
      <c r="G151" s="38"/>
      <c r="H151" s="38">
        <f t="shared" si="6"/>
        <v>0</v>
      </c>
      <c r="I151" s="61" t="e">
        <f t="shared" si="7"/>
        <v>#DIV/0!</v>
      </c>
      <c r="J151" s="71"/>
      <c r="K151" s="71"/>
    </row>
    <row r="152" spans="1:11" x14ac:dyDescent="0.25">
      <c r="A152" s="107"/>
      <c r="B152" s="50">
        <v>44896</v>
      </c>
      <c r="C152" s="53" t="s">
        <v>120</v>
      </c>
      <c r="D152" s="37">
        <v>50000333</v>
      </c>
      <c r="E152" s="38"/>
      <c r="F152" s="38"/>
      <c r="G152" s="38"/>
      <c r="H152" s="38">
        <f t="shared" si="6"/>
        <v>0</v>
      </c>
      <c r="I152" s="61" t="e">
        <f t="shared" si="7"/>
        <v>#DIV/0!</v>
      </c>
      <c r="J152" s="71"/>
      <c r="K152" s="71"/>
    </row>
    <row r="153" spans="1:11" x14ac:dyDescent="0.25">
      <c r="A153" s="107"/>
      <c r="B153" s="50">
        <v>44896</v>
      </c>
      <c r="C153" s="53" t="s">
        <v>121</v>
      </c>
      <c r="D153" s="37">
        <v>50000450</v>
      </c>
      <c r="E153" s="38"/>
      <c r="F153" s="38"/>
      <c r="G153" s="38"/>
      <c r="H153" s="38">
        <f t="shared" si="6"/>
        <v>0</v>
      </c>
      <c r="I153" s="61" t="e">
        <f t="shared" si="7"/>
        <v>#DIV/0!</v>
      </c>
      <c r="J153" s="71"/>
      <c r="K153" s="71"/>
    </row>
    <row r="154" spans="1:11" x14ac:dyDescent="0.25">
      <c r="A154" s="107"/>
      <c r="B154" s="50">
        <v>44896</v>
      </c>
      <c r="C154" s="53" t="s">
        <v>122</v>
      </c>
      <c r="D154" s="37">
        <v>40000100</v>
      </c>
      <c r="E154" s="38"/>
      <c r="F154" s="38"/>
      <c r="G154" s="38"/>
      <c r="H154" s="38">
        <f t="shared" si="6"/>
        <v>0</v>
      </c>
      <c r="I154" s="61" t="e">
        <f t="shared" si="7"/>
        <v>#DIV/0!</v>
      </c>
      <c r="J154" s="71"/>
      <c r="K154" s="71"/>
    </row>
    <row r="155" spans="1:11" x14ac:dyDescent="0.25">
      <c r="A155" s="107"/>
      <c r="B155" s="50">
        <v>44896</v>
      </c>
      <c r="C155" s="53" t="s">
        <v>123</v>
      </c>
      <c r="D155" s="37">
        <v>50000281</v>
      </c>
      <c r="E155" s="38"/>
      <c r="F155" s="38"/>
      <c r="G155" s="38"/>
      <c r="H155" s="38">
        <f t="shared" si="6"/>
        <v>0</v>
      </c>
      <c r="I155" s="61" t="e">
        <f t="shared" si="7"/>
        <v>#DIV/0!</v>
      </c>
      <c r="J155" s="71"/>
      <c r="K155" s="71"/>
    </row>
    <row r="156" spans="1:11" x14ac:dyDescent="0.25">
      <c r="A156" s="107"/>
      <c r="B156" s="50">
        <v>44896</v>
      </c>
      <c r="C156" s="53" t="s">
        <v>124</v>
      </c>
      <c r="D156" s="37">
        <v>60000055</v>
      </c>
      <c r="E156" s="38"/>
      <c r="F156" s="38"/>
      <c r="G156" s="38"/>
      <c r="H156" s="38">
        <f t="shared" si="6"/>
        <v>0</v>
      </c>
      <c r="I156" s="61" t="e">
        <f t="shared" si="7"/>
        <v>#DIV/0!</v>
      </c>
      <c r="J156" s="71"/>
      <c r="K156" s="71"/>
    </row>
    <row r="157" spans="1:11" x14ac:dyDescent="0.25">
      <c r="A157" s="107"/>
      <c r="B157" s="50">
        <v>44896</v>
      </c>
      <c r="C157" s="53" t="s">
        <v>135</v>
      </c>
      <c r="D157" s="37">
        <v>7300004284</v>
      </c>
      <c r="E157" s="38"/>
      <c r="F157" s="38"/>
      <c r="G157" s="38"/>
      <c r="H157" s="38">
        <f t="shared" si="6"/>
        <v>0</v>
      </c>
      <c r="I157" s="61" t="e">
        <f t="shared" si="7"/>
        <v>#DIV/0!</v>
      </c>
      <c r="J157" s="71"/>
      <c r="K157" s="71"/>
    </row>
    <row r="158" spans="1:11" x14ac:dyDescent="0.25">
      <c r="A158" s="107"/>
      <c r="B158" s="50">
        <v>44896</v>
      </c>
      <c r="C158" s="53" t="s">
        <v>136</v>
      </c>
      <c r="D158" s="37">
        <v>7300028060</v>
      </c>
      <c r="E158" s="38"/>
      <c r="F158" s="38"/>
      <c r="G158" s="38"/>
      <c r="H158" s="38">
        <f t="shared" si="6"/>
        <v>0</v>
      </c>
      <c r="I158" s="61" t="e">
        <f t="shared" si="7"/>
        <v>#DIV/0!</v>
      </c>
      <c r="J158" s="71"/>
      <c r="K158" s="71"/>
    </row>
    <row r="159" spans="1:11" x14ac:dyDescent="0.25">
      <c r="A159" s="107"/>
      <c r="B159" s="50">
        <v>44896</v>
      </c>
      <c r="C159" s="53" t="s">
        <v>137</v>
      </c>
      <c r="D159" s="37">
        <v>7300001782</v>
      </c>
      <c r="E159" s="38"/>
      <c r="F159" s="38"/>
      <c r="G159" s="38"/>
      <c r="H159" s="38">
        <f t="shared" si="6"/>
        <v>0</v>
      </c>
      <c r="I159" s="61" t="e">
        <f t="shared" si="7"/>
        <v>#DIV/0!</v>
      </c>
      <c r="J159" s="71"/>
      <c r="K159" s="71"/>
    </row>
    <row r="160" spans="1:11" customFormat="1" hidden="1" x14ac:dyDescent="0.25">
      <c r="B160" s="32">
        <v>44927</v>
      </c>
      <c r="C160" s="1" t="s">
        <v>109</v>
      </c>
      <c r="D160" s="2">
        <v>50000204</v>
      </c>
      <c r="E160" s="30"/>
      <c r="F160" s="30"/>
      <c r="G160" s="30"/>
      <c r="H160" s="31"/>
    </row>
    <row r="161" spans="2:8" customFormat="1" hidden="1" x14ac:dyDescent="0.25">
      <c r="B161" s="32">
        <v>44927</v>
      </c>
      <c r="C161" s="1" t="s">
        <v>112</v>
      </c>
      <c r="D161" s="2">
        <v>50000177</v>
      </c>
      <c r="E161" s="30"/>
      <c r="F161" s="30"/>
      <c r="G161" s="30"/>
      <c r="H161" s="31"/>
    </row>
    <row r="162" spans="2:8" customFormat="1" hidden="1" x14ac:dyDescent="0.25">
      <c r="B162" s="32">
        <v>44927</v>
      </c>
      <c r="C162" s="1" t="s">
        <v>106</v>
      </c>
      <c r="D162" s="2">
        <v>50000178</v>
      </c>
      <c r="E162" s="30"/>
      <c r="F162" s="30"/>
      <c r="G162" s="30"/>
      <c r="H162" s="31"/>
    </row>
    <row r="163" spans="2:8" customFormat="1" hidden="1" x14ac:dyDescent="0.25">
      <c r="B163" s="32">
        <v>44927</v>
      </c>
      <c r="C163" s="1" t="s">
        <v>138</v>
      </c>
      <c r="D163" s="2">
        <v>50000346</v>
      </c>
      <c r="E163" s="30"/>
      <c r="F163" s="30"/>
      <c r="G163" s="30"/>
      <c r="H163" s="31"/>
    </row>
    <row r="164" spans="2:8" customFormat="1" hidden="1" x14ac:dyDescent="0.25">
      <c r="B164" s="32">
        <v>44927</v>
      </c>
      <c r="C164" s="1" t="s">
        <v>100</v>
      </c>
      <c r="D164" s="29">
        <v>50000264</v>
      </c>
      <c r="E164" s="30"/>
      <c r="F164" s="30"/>
      <c r="G164" s="30"/>
      <c r="H164" s="31"/>
    </row>
    <row r="165" spans="2:8" customFormat="1" hidden="1" x14ac:dyDescent="0.25">
      <c r="B165" s="32">
        <v>44927</v>
      </c>
      <c r="C165" s="1" t="s">
        <v>104</v>
      </c>
      <c r="D165" s="2">
        <v>50000390</v>
      </c>
      <c r="E165" s="30"/>
      <c r="F165" s="30"/>
      <c r="G165" s="30"/>
      <c r="H165" s="31"/>
    </row>
    <row r="166" spans="2:8" customFormat="1" hidden="1" x14ac:dyDescent="0.25">
      <c r="B166" s="32">
        <v>44927</v>
      </c>
      <c r="C166" s="1" t="s">
        <v>120</v>
      </c>
      <c r="D166" s="2">
        <v>50000333</v>
      </c>
      <c r="E166" s="30"/>
      <c r="F166" s="30"/>
      <c r="G166" s="30"/>
      <c r="H166" s="31"/>
    </row>
    <row r="167" spans="2:8" customFormat="1" hidden="1" x14ac:dyDescent="0.25">
      <c r="B167" s="32">
        <v>44927</v>
      </c>
      <c r="C167" s="1" t="s">
        <v>121</v>
      </c>
      <c r="D167" s="2">
        <v>50000450</v>
      </c>
      <c r="E167" s="30"/>
      <c r="F167" s="30"/>
      <c r="G167" s="30"/>
      <c r="H167" s="31"/>
    </row>
    <row r="168" spans="2:8" customFormat="1" hidden="1" x14ac:dyDescent="0.25">
      <c r="B168" s="32">
        <v>44927</v>
      </c>
      <c r="C168" s="1" t="s">
        <v>122</v>
      </c>
      <c r="D168" s="2">
        <v>40000100</v>
      </c>
      <c r="E168" s="30"/>
      <c r="F168" s="30"/>
      <c r="G168" s="30"/>
      <c r="H168" s="31"/>
    </row>
    <row r="169" spans="2:8" customFormat="1" hidden="1" x14ac:dyDescent="0.25">
      <c r="B169" s="32">
        <v>44927</v>
      </c>
      <c r="C169" s="1" t="s">
        <v>123</v>
      </c>
      <c r="D169" s="2">
        <v>50000281</v>
      </c>
      <c r="E169" s="30"/>
      <c r="F169" s="30"/>
      <c r="G169" s="30"/>
      <c r="H169" s="31"/>
    </row>
    <row r="170" spans="2:8" customFormat="1" hidden="1" x14ac:dyDescent="0.25">
      <c r="B170" s="32">
        <v>44927</v>
      </c>
      <c r="C170" s="1" t="s">
        <v>124</v>
      </c>
      <c r="D170" s="2">
        <v>60000055</v>
      </c>
      <c r="E170" s="30"/>
      <c r="F170" s="30"/>
      <c r="G170" s="30"/>
      <c r="H170" s="31"/>
    </row>
    <row r="171" spans="2:8" customFormat="1" hidden="1" x14ac:dyDescent="0.25">
      <c r="B171" s="32">
        <v>44927</v>
      </c>
      <c r="C171" s="1" t="s">
        <v>135</v>
      </c>
      <c r="D171" s="2">
        <v>7300004284</v>
      </c>
      <c r="E171" s="30"/>
      <c r="F171" s="30"/>
      <c r="G171" s="30"/>
      <c r="H171" s="31"/>
    </row>
    <row r="172" spans="2:8" customFormat="1" hidden="1" x14ac:dyDescent="0.25">
      <c r="B172" s="32">
        <v>44927</v>
      </c>
      <c r="C172" s="1" t="s">
        <v>136</v>
      </c>
      <c r="D172" s="2">
        <v>7300028060</v>
      </c>
      <c r="E172" s="30"/>
      <c r="F172" s="30"/>
      <c r="G172" s="30"/>
      <c r="H172" s="31"/>
    </row>
    <row r="173" spans="2:8" customFormat="1" hidden="1" x14ac:dyDescent="0.25">
      <c r="B173" s="32">
        <v>44927</v>
      </c>
      <c r="C173" s="1" t="s">
        <v>137</v>
      </c>
      <c r="D173" s="2">
        <v>7300001782</v>
      </c>
      <c r="E173" s="30"/>
      <c r="F173" s="30"/>
      <c r="G173" s="30"/>
      <c r="H173" s="31"/>
    </row>
    <row r="174" spans="2:8" x14ac:dyDescent="0.25">
      <c r="B174" s="54"/>
      <c r="C174" s="34"/>
    </row>
    <row r="175" spans="2:8" x14ac:dyDescent="0.25">
      <c r="C175" s="57"/>
      <c r="D175" s="58"/>
      <c r="E175" s="59"/>
      <c r="F175" s="59"/>
      <c r="G175" s="59"/>
      <c r="H175" s="59"/>
    </row>
  </sheetData>
  <autoFilter ref="B3:H173" xr:uid="{00000000-0009-0000-0000-000005000000}">
    <filterColumn colId="0">
      <filters>
        <dateGroupItem year="2022" dateTimeGrouping="year"/>
      </filters>
    </filterColumn>
  </autoFilter>
  <mergeCells count="14">
    <mergeCell ref="J2:K2"/>
    <mergeCell ref="A134:A146"/>
    <mergeCell ref="A147:A159"/>
    <mergeCell ref="B1:H2"/>
    <mergeCell ref="A4:A16"/>
    <mergeCell ref="A17:A29"/>
    <mergeCell ref="A30:A42"/>
    <mergeCell ref="A43:A55"/>
    <mergeCell ref="A56:A68"/>
    <mergeCell ref="A69:A81"/>
    <mergeCell ref="A95:A107"/>
    <mergeCell ref="A108:A120"/>
    <mergeCell ref="A121:A133"/>
    <mergeCell ref="A82:A94"/>
  </mergeCells>
  <pageMargins left="0.7" right="0.7" top="0.75" bottom="0.75" header="0.3" footer="0.3"/>
  <pageSetup paperSize="9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"/>
  <dimension ref="B1:P24"/>
  <sheetViews>
    <sheetView workbookViewId="0">
      <selection activeCell="E1" sqref="E1"/>
    </sheetView>
  </sheetViews>
  <sheetFormatPr defaultRowHeight="15" x14ac:dyDescent="0.25"/>
  <cols>
    <col min="2" max="2" width="36.140625" bestFit="1" customWidth="1"/>
    <col min="3" max="3" width="15.7109375" hidden="1" customWidth="1"/>
    <col min="4" max="4" width="21.85546875" customWidth="1"/>
    <col min="7" max="7" width="10.140625" bestFit="1" customWidth="1"/>
    <col min="10" max="10" width="10.85546875" customWidth="1"/>
    <col min="12" max="12" width="42.7109375" bestFit="1" customWidth="1"/>
    <col min="13" max="13" width="11" bestFit="1" customWidth="1"/>
    <col min="15" max="15" width="14.85546875" bestFit="1" customWidth="1"/>
    <col min="16" max="16" width="11" bestFit="1" customWidth="1"/>
  </cols>
  <sheetData>
    <row r="1" spans="2:16" x14ac:dyDescent="0.25">
      <c r="B1" s="3" t="s">
        <v>139</v>
      </c>
      <c r="C1" s="3" t="s">
        <v>128</v>
      </c>
      <c r="D1" s="3" t="s">
        <v>140</v>
      </c>
      <c r="E1" s="3" t="s">
        <v>141</v>
      </c>
      <c r="G1" s="3" t="s">
        <v>96</v>
      </c>
      <c r="J1" s="3" t="s">
        <v>128</v>
      </c>
      <c r="L1" s="3" t="s">
        <v>128</v>
      </c>
      <c r="M1" s="3" t="s">
        <v>140</v>
      </c>
      <c r="O1" s="45" t="s">
        <v>142</v>
      </c>
      <c r="P1" s="1" t="s">
        <v>143</v>
      </c>
    </row>
    <row r="2" spans="2:16" x14ac:dyDescent="0.25">
      <c r="B2" s="1" t="s">
        <v>144</v>
      </c>
      <c r="C2" s="1" t="s">
        <v>145</v>
      </c>
      <c r="D2" s="1">
        <v>10000281</v>
      </c>
      <c r="E2" s="1">
        <v>1250</v>
      </c>
      <c r="G2" s="4" t="s">
        <v>146</v>
      </c>
      <c r="J2" s="1" t="s">
        <v>147</v>
      </c>
      <c r="L2" s="1" t="s">
        <v>109</v>
      </c>
      <c r="M2" s="2">
        <v>50000204</v>
      </c>
    </row>
    <row r="3" spans="2:16" x14ac:dyDescent="0.25">
      <c r="B3" s="1" t="s">
        <v>148</v>
      </c>
      <c r="C3" s="1" t="s">
        <v>145</v>
      </c>
      <c r="D3" s="1">
        <v>10001260</v>
      </c>
      <c r="E3" s="1">
        <v>1250</v>
      </c>
      <c r="G3" s="5" t="s">
        <v>149</v>
      </c>
      <c r="J3" s="1" t="s">
        <v>145</v>
      </c>
      <c r="L3" s="1" t="s">
        <v>112</v>
      </c>
      <c r="M3" s="2">
        <v>50000177</v>
      </c>
    </row>
    <row r="4" spans="2:16" x14ac:dyDescent="0.25">
      <c r="B4" s="1" t="s">
        <v>150</v>
      </c>
      <c r="C4" s="1" t="s">
        <v>151</v>
      </c>
      <c r="D4" s="1">
        <v>10000730</v>
      </c>
      <c r="E4" s="1">
        <v>25</v>
      </c>
      <c r="J4" s="1" t="s">
        <v>151</v>
      </c>
      <c r="L4" s="1" t="s">
        <v>106</v>
      </c>
      <c r="M4" s="2">
        <v>50000178</v>
      </c>
    </row>
    <row r="5" spans="2:16" x14ac:dyDescent="0.25">
      <c r="B5" s="1" t="s">
        <v>152</v>
      </c>
      <c r="C5" s="1" t="s">
        <v>151</v>
      </c>
      <c r="D5" s="1">
        <v>10001210</v>
      </c>
      <c r="E5" s="1">
        <v>25</v>
      </c>
      <c r="J5" s="1" t="s">
        <v>153</v>
      </c>
      <c r="L5" s="1" t="s">
        <v>138</v>
      </c>
      <c r="M5" s="2">
        <v>50000346</v>
      </c>
    </row>
    <row r="6" spans="2:16" x14ac:dyDescent="0.25">
      <c r="B6" s="1" t="s">
        <v>154</v>
      </c>
      <c r="C6" s="1" t="s">
        <v>145</v>
      </c>
      <c r="D6" s="1">
        <v>10001215</v>
      </c>
      <c r="E6" s="1">
        <v>1250</v>
      </c>
      <c r="L6" s="1" t="s">
        <v>100</v>
      </c>
      <c r="M6" s="29">
        <v>50000264</v>
      </c>
    </row>
    <row r="7" spans="2:16" x14ac:dyDescent="0.25">
      <c r="B7" s="1" t="s">
        <v>155</v>
      </c>
      <c r="C7" s="1" t="s">
        <v>151</v>
      </c>
      <c r="D7" s="1">
        <v>10001213</v>
      </c>
      <c r="E7" s="1">
        <v>25</v>
      </c>
      <c r="L7" s="1" t="s">
        <v>104</v>
      </c>
      <c r="M7" s="2">
        <v>50000390</v>
      </c>
    </row>
    <row r="8" spans="2:16" x14ac:dyDescent="0.25">
      <c r="B8" s="1" t="s">
        <v>156</v>
      </c>
      <c r="C8" s="1" t="s">
        <v>145</v>
      </c>
      <c r="D8" s="1">
        <v>10001200</v>
      </c>
      <c r="E8" s="1">
        <v>1250</v>
      </c>
      <c r="L8" s="1" t="s">
        <v>120</v>
      </c>
      <c r="M8" s="2">
        <v>50000333</v>
      </c>
    </row>
    <row r="9" spans="2:16" x14ac:dyDescent="0.25">
      <c r="B9" s="1" t="s">
        <v>17</v>
      </c>
      <c r="C9" s="1" t="s">
        <v>157</v>
      </c>
      <c r="D9" s="1">
        <v>10000284</v>
      </c>
      <c r="E9" s="1">
        <v>1100</v>
      </c>
      <c r="L9" s="1" t="s">
        <v>121</v>
      </c>
      <c r="M9" s="2">
        <v>50000450</v>
      </c>
    </row>
    <row r="10" spans="2:16" x14ac:dyDescent="0.25">
      <c r="B10" s="1" t="s">
        <v>19</v>
      </c>
      <c r="C10" s="1" t="s">
        <v>151</v>
      </c>
      <c r="D10" s="1">
        <v>10000721</v>
      </c>
      <c r="E10" s="1">
        <v>25</v>
      </c>
      <c r="L10" s="1" t="s">
        <v>122</v>
      </c>
      <c r="M10" s="2">
        <v>40000100</v>
      </c>
    </row>
    <row r="11" spans="2:16" x14ac:dyDescent="0.25">
      <c r="B11" s="1" t="s">
        <v>20</v>
      </c>
      <c r="C11" s="1" t="s">
        <v>145</v>
      </c>
      <c r="D11" s="1">
        <v>10000276</v>
      </c>
      <c r="E11" s="1">
        <v>1250</v>
      </c>
      <c r="L11" s="1" t="s">
        <v>123</v>
      </c>
      <c r="M11" s="2">
        <v>50000281</v>
      </c>
    </row>
    <row r="12" spans="2:16" x14ac:dyDescent="0.25">
      <c r="B12" s="1" t="s">
        <v>22</v>
      </c>
      <c r="C12" s="1" t="s">
        <v>151</v>
      </c>
      <c r="D12" s="1">
        <v>10000900</v>
      </c>
      <c r="E12" s="1">
        <v>25</v>
      </c>
      <c r="L12" s="1" t="s">
        <v>124</v>
      </c>
      <c r="M12" s="2">
        <v>60000055</v>
      </c>
    </row>
    <row r="13" spans="2:16" x14ac:dyDescent="0.25">
      <c r="B13" s="1" t="s">
        <v>23</v>
      </c>
      <c r="C13" s="1" t="s">
        <v>145</v>
      </c>
      <c r="D13" s="1">
        <v>10000279</v>
      </c>
      <c r="E13" s="1">
        <v>1250</v>
      </c>
      <c r="L13" s="1" t="s">
        <v>135</v>
      </c>
      <c r="M13" s="1">
        <v>7300004284</v>
      </c>
    </row>
    <row r="14" spans="2:16" x14ac:dyDescent="0.25">
      <c r="B14" s="1" t="s">
        <v>25</v>
      </c>
      <c r="C14" s="1" t="s">
        <v>151</v>
      </c>
      <c r="D14" s="1">
        <v>10000824</v>
      </c>
      <c r="E14" s="1">
        <v>25</v>
      </c>
      <c r="L14" s="1" t="s">
        <v>136</v>
      </c>
      <c r="M14" s="1">
        <v>7300028060</v>
      </c>
    </row>
    <row r="15" spans="2:16" x14ac:dyDescent="0.25">
      <c r="B15" s="1" t="s">
        <v>26</v>
      </c>
      <c r="C15" s="1" t="s">
        <v>151</v>
      </c>
      <c r="D15" s="1">
        <v>10000910</v>
      </c>
      <c r="E15" s="1">
        <v>25</v>
      </c>
      <c r="L15" s="1"/>
      <c r="M15" s="1"/>
    </row>
    <row r="16" spans="2:16" x14ac:dyDescent="0.25">
      <c r="B16" s="1" t="s">
        <v>28</v>
      </c>
      <c r="C16" s="1" t="s">
        <v>151</v>
      </c>
      <c r="D16" s="1">
        <v>10001462</v>
      </c>
      <c r="E16" s="1">
        <v>25</v>
      </c>
      <c r="L16" s="1" t="s">
        <v>137</v>
      </c>
      <c r="M16" s="2">
        <v>7300001782</v>
      </c>
    </row>
    <row r="17" spans="2:5" x14ac:dyDescent="0.25">
      <c r="B17" s="1" t="s">
        <v>29</v>
      </c>
      <c r="C17" s="1" t="s">
        <v>151</v>
      </c>
      <c r="D17" s="1">
        <v>10000880</v>
      </c>
      <c r="E17" s="1">
        <v>25</v>
      </c>
    </row>
    <row r="18" spans="2:5" x14ac:dyDescent="0.25">
      <c r="B18" s="1" t="s">
        <v>31</v>
      </c>
      <c r="C18" s="1" t="s">
        <v>153</v>
      </c>
      <c r="D18" s="1">
        <v>10001341</v>
      </c>
      <c r="E18" s="1">
        <v>800</v>
      </c>
    </row>
    <row r="19" spans="2:5" x14ac:dyDescent="0.25">
      <c r="B19" s="1" t="s">
        <v>32</v>
      </c>
      <c r="C19" s="1" t="s">
        <v>151</v>
      </c>
      <c r="D19" s="73">
        <v>10000248</v>
      </c>
      <c r="E19" s="1">
        <v>25</v>
      </c>
    </row>
    <row r="20" spans="2:5" x14ac:dyDescent="0.25">
      <c r="B20" s="1" t="s">
        <v>34</v>
      </c>
      <c r="C20" s="1" t="s">
        <v>153</v>
      </c>
      <c r="D20" s="1">
        <v>10001452</v>
      </c>
      <c r="E20" s="1">
        <v>800</v>
      </c>
    </row>
    <row r="21" spans="2:5" x14ac:dyDescent="0.25">
      <c r="B21" s="1" t="s">
        <v>35</v>
      </c>
      <c r="C21" s="1" t="s">
        <v>153</v>
      </c>
      <c r="D21" s="1">
        <v>10001492</v>
      </c>
      <c r="E21" s="1">
        <v>800</v>
      </c>
    </row>
    <row r="22" spans="2:5" x14ac:dyDescent="0.25">
      <c r="B22" s="1" t="s">
        <v>37</v>
      </c>
      <c r="C22" s="1" t="s">
        <v>147</v>
      </c>
      <c r="D22" s="1">
        <v>10000890</v>
      </c>
      <c r="E22" s="1">
        <v>1000</v>
      </c>
    </row>
    <row r="23" spans="2:5" x14ac:dyDescent="0.25">
      <c r="B23" s="1" t="s">
        <v>38</v>
      </c>
      <c r="C23" s="1" t="s">
        <v>147</v>
      </c>
      <c r="D23" s="1">
        <v>10001481</v>
      </c>
      <c r="E23" s="1">
        <v>1000</v>
      </c>
    </row>
    <row r="24" spans="2:5" x14ac:dyDescent="0.25">
      <c r="B24" s="1" t="s">
        <v>40</v>
      </c>
      <c r="C24" s="1" t="s">
        <v>145</v>
      </c>
      <c r="D24" s="1">
        <v>20000770</v>
      </c>
      <c r="E24" s="1">
        <v>1250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7"/>
  <dimension ref="D1:Q121"/>
  <sheetViews>
    <sheetView showGridLines="0" topLeftCell="A16" zoomScale="70" zoomScaleNormal="70" workbookViewId="0">
      <selection activeCell="Z21" sqref="Z21"/>
    </sheetView>
  </sheetViews>
  <sheetFormatPr defaultRowHeight="15" x14ac:dyDescent="0.25"/>
  <cols>
    <col min="7" max="7" width="9.140625" customWidth="1"/>
  </cols>
  <sheetData>
    <row r="1" spans="8:13" x14ac:dyDescent="0.25">
      <c r="H1" t="s">
        <v>158</v>
      </c>
    </row>
    <row r="13" spans="8:13" x14ac:dyDescent="0.25">
      <c r="M13" t="s">
        <v>159</v>
      </c>
    </row>
    <row r="14" spans="8:13" x14ac:dyDescent="0.25">
      <c r="M14" t="s">
        <v>160</v>
      </c>
    </row>
    <row r="21" spans="14:14" x14ac:dyDescent="0.25">
      <c r="N21" t="s">
        <v>161</v>
      </c>
    </row>
    <row r="66" spans="4:15" x14ac:dyDescent="0.25">
      <c r="O66" t="s">
        <v>162</v>
      </c>
    </row>
    <row r="67" spans="4:15" x14ac:dyDescent="0.25">
      <c r="O67" t="s">
        <v>163</v>
      </c>
    </row>
    <row r="68" spans="4:15" x14ac:dyDescent="0.25">
      <c r="O68" t="s">
        <v>164</v>
      </c>
    </row>
    <row r="69" spans="4:15" x14ac:dyDescent="0.25">
      <c r="O69" t="s">
        <v>165</v>
      </c>
    </row>
    <row r="72" spans="4:15" x14ac:dyDescent="0.25">
      <c r="D72" t="s">
        <v>166</v>
      </c>
      <c r="J72" t="s">
        <v>167</v>
      </c>
    </row>
    <row r="85" spans="8:16" x14ac:dyDescent="0.25">
      <c r="P85" t="s">
        <v>168</v>
      </c>
    </row>
    <row r="95" spans="8:16" x14ac:dyDescent="0.25">
      <c r="P95" t="s">
        <v>169</v>
      </c>
    </row>
    <row r="96" spans="8:16" x14ac:dyDescent="0.25">
      <c r="H96" t="s">
        <v>170</v>
      </c>
    </row>
    <row r="111" spans="5:14" x14ac:dyDescent="0.25">
      <c r="N111" t="s">
        <v>169</v>
      </c>
    </row>
    <row r="112" spans="5:14" x14ac:dyDescent="0.25">
      <c r="E112" t="s">
        <v>170</v>
      </c>
    </row>
    <row r="118" spans="17:17" x14ac:dyDescent="0.25">
      <c r="Q118" t="s">
        <v>171</v>
      </c>
    </row>
    <row r="121" spans="17:17" x14ac:dyDescent="0.25">
      <c r="Q121" t="s">
        <v>172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8">
    <pageSetUpPr fitToPage="1"/>
  </sheetPr>
  <dimension ref="B1:I442"/>
  <sheetViews>
    <sheetView topLeftCell="A112" zoomScale="70" zoomScaleNormal="70" workbookViewId="0">
      <selection activeCell="L20" sqref="L20"/>
    </sheetView>
  </sheetViews>
  <sheetFormatPr defaultRowHeight="15" x14ac:dyDescent="0.25"/>
  <cols>
    <col min="2" max="2" width="37.140625" customWidth="1"/>
    <col min="3" max="3" width="46.5703125" customWidth="1"/>
    <col min="4" max="4" width="60.85546875" customWidth="1"/>
    <col min="5" max="5" width="22.7109375" customWidth="1"/>
    <col min="6" max="6" width="24" customWidth="1"/>
    <col min="7" max="7" width="23.42578125" customWidth="1"/>
  </cols>
  <sheetData>
    <row r="1" spans="2:9" s="6" customFormat="1" ht="15.75" thickBot="1" x14ac:dyDescent="0.3"/>
    <row r="2" spans="2:9" s="6" customFormat="1" ht="15" customHeight="1" x14ac:dyDescent="0.25">
      <c r="B2" s="140"/>
      <c r="C2" s="143" t="s">
        <v>173</v>
      </c>
      <c r="D2" s="144"/>
      <c r="E2" s="144"/>
      <c r="F2" s="144"/>
      <c r="G2" s="145"/>
    </row>
    <row r="3" spans="2:9" s="6" customFormat="1" ht="12" customHeight="1" x14ac:dyDescent="0.25">
      <c r="B3" s="141"/>
      <c r="C3" s="146"/>
      <c r="D3" s="147"/>
      <c r="E3" s="147"/>
      <c r="F3" s="147"/>
      <c r="G3" s="148"/>
    </row>
    <row r="4" spans="2:9" s="6" customFormat="1" ht="15" customHeight="1" x14ac:dyDescent="0.25">
      <c r="B4" s="141"/>
      <c r="C4" s="146"/>
      <c r="D4" s="147"/>
      <c r="E4" s="147"/>
      <c r="F4" s="147"/>
      <c r="G4" s="148"/>
    </row>
    <row r="5" spans="2:9" s="6" customFormat="1" ht="36.75" customHeight="1" x14ac:dyDescent="0.25">
      <c r="B5" s="142"/>
      <c r="C5" s="149"/>
      <c r="D5" s="150"/>
      <c r="E5" s="150"/>
      <c r="F5" s="150"/>
      <c r="G5" s="151"/>
    </row>
    <row r="6" spans="2:9" s="6" customFormat="1" ht="79.5" customHeight="1" x14ac:dyDescent="0.25">
      <c r="B6" s="173" t="s">
        <v>174</v>
      </c>
      <c r="C6" s="174"/>
      <c r="D6" s="174"/>
      <c r="E6" s="174"/>
      <c r="F6" s="171" t="s">
        <v>175</v>
      </c>
      <c r="G6" s="172"/>
    </row>
    <row r="7" spans="2:9" s="6" customFormat="1" ht="18" x14ac:dyDescent="0.25">
      <c r="B7" s="152" t="s">
        <v>176</v>
      </c>
      <c r="C7" s="153"/>
      <c r="D7" s="154"/>
      <c r="E7" s="182" t="s">
        <v>177</v>
      </c>
      <c r="F7" s="178" t="s">
        <v>178</v>
      </c>
      <c r="G7" s="179"/>
    </row>
    <row r="8" spans="2:9" s="6" customFormat="1" ht="22.5" customHeight="1" x14ac:dyDescent="0.25">
      <c r="B8" s="175" t="s">
        <v>179</v>
      </c>
      <c r="C8" s="176"/>
      <c r="D8" s="177"/>
      <c r="E8" s="183"/>
      <c r="F8" s="180"/>
      <c r="G8" s="181"/>
    </row>
    <row r="9" spans="2:9" s="6" customFormat="1" x14ac:dyDescent="0.25">
      <c r="B9" s="163"/>
      <c r="C9" s="161"/>
      <c r="D9" s="159"/>
      <c r="E9" s="122" t="s">
        <v>180</v>
      </c>
      <c r="F9" s="165"/>
      <c r="G9" s="166"/>
    </row>
    <row r="10" spans="2:9" s="6" customFormat="1" x14ac:dyDescent="0.25">
      <c r="B10" s="164"/>
      <c r="C10" s="162"/>
      <c r="D10" s="160"/>
      <c r="E10" s="123"/>
      <c r="F10" s="167"/>
      <c r="G10" s="168"/>
    </row>
    <row r="11" spans="2:9" s="6" customFormat="1" x14ac:dyDescent="0.25">
      <c r="B11" s="164"/>
      <c r="C11" s="162"/>
      <c r="D11" s="160"/>
      <c r="E11" s="123"/>
      <c r="F11" s="167"/>
      <c r="G11" s="168"/>
    </row>
    <row r="12" spans="2:9" s="6" customFormat="1" x14ac:dyDescent="0.25">
      <c r="B12" s="164"/>
      <c r="C12" s="162"/>
      <c r="D12" s="160"/>
      <c r="E12" s="123"/>
      <c r="F12" s="167"/>
      <c r="G12" s="168"/>
    </row>
    <row r="13" spans="2:9" s="6" customFormat="1" x14ac:dyDescent="0.25">
      <c r="B13" s="164"/>
      <c r="C13" s="162"/>
      <c r="D13" s="160"/>
      <c r="E13" s="124"/>
      <c r="F13" s="169"/>
      <c r="G13" s="170"/>
    </row>
    <row r="14" spans="2:9" s="6" customFormat="1" ht="15" customHeight="1" x14ac:dyDescent="0.25">
      <c r="B14" s="21"/>
      <c r="C14" s="8"/>
      <c r="D14" s="7"/>
      <c r="E14" s="122" t="s">
        <v>181</v>
      </c>
      <c r="F14" s="116" t="s">
        <v>182</v>
      </c>
      <c r="G14" s="117"/>
      <c r="H14" s="11"/>
    </row>
    <row r="15" spans="2:9" s="6" customFormat="1" ht="15.75" customHeight="1" x14ac:dyDescent="0.25">
      <c r="B15" s="21"/>
      <c r="C15" s="8"/>
      <c r="D15" s="7"/>
      <c r="E15" s="123"/>
      <c r="F15" s="118"/>
      <c r="G15" s="119"/>
      <c r="H15" s="115"/>
      <c r="I15" s="115"/>
    </row>
    <row r="16" spans="2:9" s="6" customFormat="1" ht="15.75" customHeight="1" x14ac:dyDescent="0.25">
      <c r="B16" s="21"/>
      <c r="C16" s="8"/>
      <c r="D16" s="7"/>
      <c r="E16" s="123"/>
      <c r="F16" s="118"/>
      <c r="G16" s="119"/>
      <c r="H16" s="115"/>
      <c r="I16" s="115"/>
    </row>
    <row r="17" spans="2:9" s="6" customFormat="1" ht="15.75" customHeight="1" x14ac:dyDescent="0.25">
      <c r="B17" s="21"/>
      <c r="C17" s="8"/>
      <c r="D17" s="7"/>
      <c r="E17" s="123"/>
      <c r="F17" s="118"/>
      <c r="G17" s="119"/>
      <c r="H17" s="115"/>
      <c r="I17" s="115"/>
    </row>
    <row r="18" spans="2:9" s="6" customFormat="1" ht="15.75" customHeight="1" x14ac:dyDescent="0.25">
      <c r="B18" s="21"/>
      <c r="C18" s="8"/>
      <c r="D18" s="7"/>
      <c r="E18" s="123"/>
      <c r="F18" s="118"/>
      <c r="G18" s="119"/>
      <c r="H18" s="115"/>
      <c r="I18" s="115"/>
    </row>
    <row r="19" spans="2:9" s="6" customFormat="1" ht="15.75" customHeight="1" x14ac:dyDescent="0.25">
      <c r="B19" s="21"/>
      <c r="C19" s="8"/>
      <c r="D19" s="7"/>
      <c r="E19" s="123"/>
      <c r="F19" s="118"/>
      <c r="G19" s="119"/>
      <c r="H19" s="115"/>
      <c r="I19" s="115"/>
    </row>
    <row r="20" spans="2:9" s="6" customFormat="1" ht="15.75" customHeight="1" x14ac:dyDescent="0.25">
      <c r="B20" s="21"/>
      <c r="C20" s="8"/>
      <c r="D20" s="7"/>
      <c r="E20" s="123"/>
      <c r="F20" s="118"/>
      <c r="G20" s="119"/>
      <c r="H20" s="115"/>
      <c r="I20" s="115"/>
    </row>
    <row r="21" spans="2:9" s="6" customFormat="1" ht="15.75" customHeight="1" x14ac:dyDescent="0.25">
      <c r="B21" s="21"/>
      <c r="C21" s="8"/>
      <c r="D21" s="7"/>
      <c r="E21" s="124"/>
      <c r="F21" s="120"/>
      <c r="G21" s="121"/>
      <c r="H21" s="115"/>
      <c r="I21" s="115"/>
    </row>
    <row r="22" spans="2:9" s="6" customFormat="1" ht="15" customHeight="1" x14ac:dyDescent="0.25">
      <c r="B22" s="21"/>
      <c r="C22" s="8"/>
      <c r="D22" s="7"/>
      <c r="E22" s="122" t="s">
        <v>180</v>
      </c>
      <c r="F22" s="116" t="s">
        <v>183</v>
      </c>
      <c r="G22" s="117"/>
      <c r="H22" s="115"/>
      <c r="I22" s="115"/>
    </row>
    <row r="23" spans="2:9" s="6" customFormat="1" ht="15.75" customHeight="1" x14ac:dyDescent="0.25">
      <c r="B23" s="21"/>
      <c r="C23" s="8"/>
      <c r="D23" s="7"/>
      <c r="E23" s="123"/>
      <c r="F23" s="118"/>
      <c r="G23" s="119"/>
    </row>
    <row r="24" spans="2:9" s="6" customFormat="1" ht="15.75" customHeight="1" x14ac:dyDescent="0.25">
      <c r="B24" s="21"/>
      <c r="C24" s="8"/>
      <c r="D24" s="7"/>
      <c r="E24" s="123"/>
      <c r="F24" s="118"/>
      <c r="G24" s="119"/>
    </row>
    <row r="25" spans="2:9" s="6" customFormat="1" ht="15.75" customHeight="1" x14ac:dyDescent="0.25">
      <c r="B25" s="21"/>
      <c r="C25" s="8"/>
      <c r="D25" s="7"/>
      <c r="E25" s="123"/>
      <c r="F25" s="118"/>
      <c r="G25" s="119"/>
    </row>
    <row r="26" spans="2:9" s="6" customFormat="1" ht="15.75" customHeight="1" x14ac:dyDescent="0.25">
      <c r="B26" s="21"/>
      <c r="C26" s="8"/>
      <c r="D26" s="7"/>
      <c r="E26" s="123"/>
      <c r="F26" s="118"/>
      <c r="G26" s="119"/>
    </row>
    <row r="27" spans="2:9" s="6" customFormat="1" ht="15.75" customHeight="1" x14ac:dyDescent="0.25">
      <c r="B27" s="21"/>
      <c r="C27" s="8"/>
      <c r="D27" s="7"/>
      <c r="E27" s="123"/>
      <c r="F27" s="118"/>
      <c r="G27" s="119"/>
    </row>
    <row r="28" spans="2:9" s="6" customFormat="1" ht="15.75" customHeight="1" x14ac:dyDescent="0.25">
      <c r="B28" s="21"/>
      <c r="C28" s="8"/>
      <c r="D28" s="7"/>
      <c r="E28" s="123"/>
      <c r="F28" s="118"/>
      <c r="G28" s="119"/>
    </row>
    <row r="29" spans="2:9" s="6" customFormat="1" ht="15.75" customHeight="1" x14ac:dyDescent="0.25">
      <c r="B29" s="21"/>
      <c r="C29" s="8"/>
      <c r="D29" s="7"/>
      <c r="E29" s="124"/>
      <c r="F29" s="120"/>
      <c r="G29" s="121"/>
    </row>
    <row r="30" spans="2:9" s="6" customFormat="1" ht="17.25" x14ac:dyDescent="0.3">
      <c r="B30" s="21"/>
      <c r="C30" s="8"/>
      <c r="D30" s="7"/>
      <c r="E30" s="109"/>
      <c r="F30" s="12"/>
      <c r="G30" s="22"/>
    </row>
    <row r="31" spans="2:9" s="6" customFormat="1" ht="17.25" x14ac:dyDescent="0.3">
      <c r="B31" s="21"/>
      <c r="C31" s="8"/>
      <c r="D31" s="7"/>
      <c r="E31" s="110"/>
      <c r="F31" s="13"/>
      <c r="G31" s="23"/>
    </row>
    <row r="32" spans="2:9" s="6" customFormat="1" ht="17.25" x14ac:dyDescent="0.3">
      <c r="B32" s="21"/>
      <c r="C32" s="8"/>
      <c r="D32" s="7"/>
      <c r="E32" s="110"/>
      <c r="F32" s="13"/>
      <c r="G32" s="23"/>
    </row>
    <row r="33" spans="2:7" s="6" customFormat="1" ht="17.25" x14ac:dyDescent="0.3">
      <c r="B33" s="21"/>
      <c r="C33" s="8"/>
      <c r="D33" s="7"/>
      <c r="E33" s="110"/>
      <c r="F33" s="13"/>
      <c r="G33" s="23"/>
    </row>
    <row r="34" spans="2:7" s="6" customFormat="1" ht="17.25" x14ac:dyDescent="0.3">
      <c r="B34" s="21"/>
      <c r="C34" s="8"/>
      <c r="D34" s="7"/>
      <c r="E34" s="110"/>
      <c r="F34" s="13"/>
      <c r="G34" s="23"/>
    </row>
    <row r="35" spans="2:7" s="6" customFormat="1" ht="17.25" x14ac:dyDescent="0.3">
      <c r="B35" s="21"/>
      <c r="C35" s="8"/>
      <c r="D35" s="7"/>
      <c r="E35" s="110"/>
      <c r="F35" s="13"/>
      <c r="G35" s="23"/>
    </row>
    <row r="36" spans="2:7" s="6" customFormat="1" ht="17.25" x14ac:dyDescent="0.3">
      <c r="B36" s="21"/>
      <c r="C36" s="8"/>
      <c r="D36" s="7"/>
      <c r="E36" s="110"/>
      <c r="F36" s="13"/>
      <c r="G36" s="23"/>
    </row>
    <row r="37" spans="2:7" s="6" customFormat="1" ht="17.25" x14ac:dyDescent="0.3">
      <c r="B37" s="21"/>
      <c r="C37" s="8"/>
      <c r="D37" s="7"/>
      <c r="E37" s="110"/>
      <c r="F37" s="13"/>
      <c r="G37" s="23"/>
    </row>
    <row r="38" spans="2:7" s="6" customFormat="1" ht="17.25" x14ac:dyDescent="0.3">
      <c r="B38" s="21"/>
      <c r="C38" s="8"/>
      <c r="D38" s="7"/>
      <c r="E38" s="111" t="s">
        <v>184</v>
      </c>
      <c r="F38" s="13"/>
      <c r="G38" s="23"/>
    </row>
    <row r="39" spans="2:7" s="6" customFormat="1" ht="17.25" x14ac:dyDescent="0.3">
      <c r="B39" s="21"/>
      <c r="C39" s="8"/>
      <c r="D39" s="7"/>
      <c r="E39" s="112"/>
      <c r="F39" s="13"/>
      <c r="G39" s="23"/>
    </row>
    <row r="40" spans="2:7" s="6" customFormat="1" ht="17.25" x14ac:dyDescent="0.3">
      <c r="B40" s="21"/>
      <c r="C40" s="8"/>
      <c r="D40" s="7"/>
      <c r="E40" s="112"/>
      <c r="F40" s="13"/>
      <c r="G40" s="23"/>
    </row>
    <row r="41" spans="2:7" s="6" customFormat="1" ht="17.25" x14ac:dyDescent="0.3">
      <c r="B41" s="21"/>
      <c r="C41" s="8"/>
      <c r="D41" s="7"/>
      <c r="E41" s="112"/>
      <c r="F41" s="13"/>
      <c r="G41" s="23"/>
    </row>
    <row r="42" spans="2:7" s="6" customFormat="1" ht="17.25" x14ac:dyDescent="0.3">
      <c r="B42" s="21"/>
      <c r="C42" s="8"/>
      <c r="D42" s="7"/>
      <c r="E42" s="112"/>
      <c r="F42" s="13"/>
      <c r="G42" s="23"/>
    </row>
    <row r="43" spans="2:7" s="6" customFormat="1" ht="17.25" x14ac:dyDescent="0.3">
      <c r="B43" s="21"/>
      <c r="C43" s="8"/>
      <c r="D43" s="7"/>
      <c r="E43" s="112"/>
      <c r="F43" s="13"/>
      <c r="G43" s="23"/>
    </row>
    <row r="44" spans="2:7" s="6" customFormat="1" ht="17.25" x14ac:dyDescent="0.3">
      <c r="B44" s="21"/>
      <c r="C44" s="8"/>
      <c r="D44" s="7"/>
      <c r="E44" s="113"/>
      <c r="F44" s="13"/>
      <c r="G44" s="23"/>
    </row>
    <row r="45" spans="2:7" s="6" customFormat="1" ht="17.25" x14ac:dyDescent="0.3">
      <c r="B45" s="21"/>
      <c r="C45" s="8"/>
      <c r="D45" s="7"/>
      <c r="E45" s="111" t="s">
        <v>184</v>
      </c>
      <c r="F45" s="13"/>
      <c r="G45" s="23"/>
    </row>
    <row r="46" spans="2:7" s="6" customFormat="1" ht="17.25" x14ac:dyDescent="0.3">
      <c r="B46" s="21"/>
      <c r="C46" s="8"/>
      <c r="D46" s="7"/>
      <c r="E46" s="112"/>
      <c r="F46" s="13"/>
      <c r="G46" s="23"/>
    </row>
    <row r="47" spans="2:7" s="6" customFormat="1" ht="17.25" x14ac:dyDescent="0.3">
      <c r="B47" s="21"/>
      <c r="C47" s="8"/>
      <c r="D47" s="7"/>
      <c r="E47" s="112"/>
      <c r="F47" s="13"/>
      <c r="G47" s="23"/>
    </row>
    <row r="48" spans="2:7" s="6" customFormat="1" ht="17.25" x14ac:dyDescent="0.3">
      <c r="B48" s="21"/>
      <c r="C48" s="8"/>
      <c r="D48" s="7"/>
      <c r="E48" s="112"/>
      <c r="F48" s="13"/>
      <c r="G48" s="23"/>
    </row>
    <row r="49" spans="2:7" s="6" customFormat="1" ht="17.25" x14ac:dyDescent="0.3">
      <c r="B49" s="21"/>
      <c r="C49" s="8"/>
      <c r="D49" s="7"/>
      <c r="E49" s="112"/>
      <c r="F49" s="13"/>
      <c r="G49" s="23"/>
    </row>
    <row r="50" spans="2:7" s="6" customFormat="1" ht="17.25" x14ac:dyDescent="0.3">
      <c r="B50" s="21"/>
      <c r="C50" s="8"/>
      <c r="D50" s="7"/>
      <c r="E50" s="112"/>
      <c r="F50" s="13"/>
      <c r="G50" s="23"/>
    </row>
    <row r="51" spans="2:7" s="6" customFormat="1" ht="17.25" x14ac:dyDescent="0.3">
      <c r="B51" s="21"/>
      <c r="C51" s="8"/>
      <c r="D51" s="7"/>
      <c r="E51" s="113"/>
      <c r="F51" s="13"/>
      <c r="G51" s="23"/>
    </row>
    <row r="52" spans="2:7" s="6" customFormat="1" ht="17.25" x14ac:dyDescent="0.3">
      <c r="B52" s="21"/>
      <c r="C52" s="8"/>
      <c r="D52" s="7"/>
      <c r="E52" s="111" t="s">
        <v>96</v>
      </c>
      <c r="F52" s="13"/>
      <c r="G52" s="23"/>
    </row>
    <row r="53" spans="2:7" s="6" customFormat="1" ht="17.25" x14ac:dyDescent="0.3">
      <c r="B53" s="21"/>
      <c r="C53" s="8"/>
      <c r="D53" s="7"/>
      <c r="E53" s="112"/>
      <c r="F53" s="13"/>
      <c r="G53" s="23"/>
    </row>
    <row r="54" spans="2:7" s="6" customFormat="1" ht="17.25" x14ac:dyDescent="0.3">
      <c r="B54" s="21"/>
      <c r="C54" s="8"/>
      <c r="D54" s="7"/>
      <c r="E54" s="112"/>
      <c r="F54" s="13"/>
      <c r="G54" s="23"/>
    </row>
    <row r="55" spans="2:7" s="6" customFormat="1" ht="17.25" x14ac:dyDescent="0.3">
      <c r="B55" s="21"/>
      <c r="C55" s="8"/>
      <c r="D55" s="7"/>
      <c r="E55" s="112"/>
      <c r="F55" s="13"/>
      <c r="G55" s="23"/>
    </row>
    <row r="56" spans="2:7" s="6" customFormat="1" ht="17.25" x14ac:dyDescent="0.3">
      <c r="B56" s="21"/>
      <c r="C56" s="8"/>
      <c r="D56" s="7"/>
      <c r="E56" s="112"/>
      <c r="F56" s="13"/>
      <c r="G56" s="23"/>
    </row>
    <row r="57" spans="2:7" s="6" customFormat="1" ht="17.25" x14ac:dyDescent="0.3">
      <c r="B57" s="21"/>
      <c r="C57" s="8"/>
      <c r="D57" s="7"/>
      <c r="E57" s="112"/>
      <c r="F57" s="13"/>
      <c r="G57" s="23"/>
    </row>
    <row r="58" spans="2:7" s="6" customFormat="1" ht="17.25" x14ac:dyDescent="0.3">
      <c r="B58" s="21"/>
      <c r="C58" s="8"/>
      <c r="D58" s="7"/>
      <c r="E58" s="112"/>
      <c r="F58" s="13"/>
      <c r="G58" s="23"/>
    </row>
    <row r="59" spans="2:7" s="6" customFormat="1" ht="17.25" x14ac:dyDescent="0.3">
      <c r="B59" s="21"/>
      <c r="C59" s="8"/>
      <c r="D59" s="7"/>
      <c r="E59" s="113"/>
      <c r="F59" s="14"/>
      <c r="G59" s="24"/>
    </row>
    <row r="60" spans="2:7" s="6" customFormat="1" ht="4.5" customHeight="1" x14ac:dyDescent="0.25">
      <c r="B60" s="21"/>
      <c r="C60" s="8"/>
      <c r="D60" s="7"/>
      <c r="E60" s="111" t="s">
        <v>184</v>
      </c>
      <c r="F60" s="116" t="s">
        <v>185</v>
      </c>
      <c r="G60" s="117"/>
    </row>
    <row r="61" spans="2:7" s="6" customFormat="1" ht="15" hidden="1" customHeight="1" x14ac:dyDescent="0.25">
      <c r="B61" s="21"/>
      <c r="C61" s="8"/>
      <c r="D61" s="7"/>
      <c r="E61" s="112"/>
      <c r="F61" s="118"/>
      <c r="G61" s="119"/>
    </row>
    <row r="62" spans="2:7" s="6" customFormat="1" ht="15" customHeight="1" x14ac:dyDescent="0.25">
      <c r="B62" s="21"/>
      <c r="C62" s="8"/>
      <c r="D62" s="7"/>
      <c r="E62" s="112"/>
      <c r="F62" s="118"/>
      <c r="G62" s="119"/>
    </row>
    <row r="63" spans="2:7" s="6" customFormat="1" ht="15.75" customHeight="1" x14ac:dyDescent="0.25">
      <c r="B63" s="21"/>
      <c r="C63" s="8"/>
      <c r="D63" s="7"/>
      <c r="E63" s="112"/>
      <c r="F63" s="118"/>
      <c r="G63" s="119"/>
    </row>
    <row r="64" spans="2:7" s="6" customFormat="1" ht="15.75" customHeight="1" x14ac:dyDescent="0.25">
      <c r="B64" s="21"/>
      <c r="C64" s="8"/>
      <c r="D64" s="7"/>
      <c r="E64" s="112"/>
      <c r="F64" s="118"/>
      <c r="G64" s="119"/>
    </row>
    <row r="65" spans="2:7" s="6" customFormat="1" ht="15.75" customHeight="1" x14ac:dyDescent="0.25">
      <c r="B65" s="21"/>
      <c r="C65" s="8"/>
      <c r="D65" s="7"/>
      <c r="E65" s="112"/>
      <c r="F65" s="118"/>
      <c r="G65" s="119"/>
    </row>
    <row r="66" spans="2:7" s="6" customFormat="1" ht="15.75" customHeight="1" x14ac:dyDescent="0.25">
      <c r="B66" s="21"/>
      <c r="C66" s="8"/>
      <c r="D66" s="7"/>
      <c r="E66" s="112"/>
      <c r="F66" s="118"/>
      <c r="G66" s="119"/>
    </row>
    <row r="67" spans="2:7" s="6" customFormat="1" ht="15.75" customHeight="1" x14ac:dyDescent="0.25">
      <c r="B67" s="21"/>
      <c r="C67" s="8"/>
      <c r="D67" s="7"/>
      <c r="E67" s="112"/>
      <c r="F67" s="118"/>
      <c r="G67" s="119"/>
    </row>
    <row r="68" spans="2:7" s="6" customFormat="1" ht="29.25" customHeight="1" x14ac:dyDescent="0.25">
      <c r="B68" s="21"/>
      <c r="C68" s="8"/>
      <c r="D68" s="7"/>
      <c r="E68" s="113"/>
      <c r="F68" s="120"/>
      <c r="G68" s="121"/>
    </row>
    <row r="69" spans="2:7" s="6" customFormat="1" ht="17.25" x14ac:dyDescent="0.3">
      <c r="B69" s="21"/>
      <c r="C69" s="8"/>
      <c r="D69" s="7"/>
      <c r="E69" s="109"/>
      <c r="F69" s="15"/>
      <c r="G69" s="22"/>
    </row>
    <row r="70" spans="2:7" s="6" customFormat="1" ht="17.25" x14ac:dyDescent="0.3">
      <c r="B70" s="21"/>
      <c r="C70" s="8"/>
      <c r="D70" s="7"/>
      <c r="E70" s="110"/>
      <c r="F70" s="16"/>
      <c r="G70" s="23"/>
    </row>
    <row r="71" spans="2:7" s="6" customFormat="1" ht="17.25" x14ac:dyDescent="0.3">
      <c r="B71" s="21"/>
      <c r="C71" s="8"/>
      <c r="D71" s="7"/>
      <c r="E71" s="110"/>
      <c r="F71" s="16"/>
      <c r="G71" s="23"/>
    </row>
    <row r="72" spans="2:7" s="6" customFormat="1" ht="17.25" x14ac:dyDescent="0.3">
      <c r="B72" s="21"/>
      <c r="C72" s="8"/>
      <c r="D72" s="7"/>
      <c r="E72" s="110"/>
      <c r="F72" s="16"/>
      <c r="G72" s="23"/>
    </row>
    <row r="73" spans="2:7" s="6" customFormat="1" ht="17.25" x14ac:dyDescent="0.3">
      <c r="B73" s="21"/>
      <c r="C73" s="8"/>
      <c r="D73" s="7"/>
      <c r="E73" s="110"/>
      <c r="F73" s="16"/>
      <c r="G73" s="23"/>
    </row>
    <row r="74" spans="2:7" s="6" customFormat="1" ht="17.25" x14ac:dyDescent="0.3">
      <c r="B74" s="21"/>
      <c r="C74" s="8"/>
      <c r="D74" s="7"/>
      <c r="E74" s="110"/>
      <c r="F74" s="16"/>
      <c r="G74" s="23"/>
    </row>
    <row r="75" spans="2:7" s="6" customFormat="1" ht="17.25" x14ac:dyDescent="0.3">
      <c r="B75" s="21"/>
      <c r="C75" s="8"/>
      <c r="D75" s="7"/>
      <c r="E75" s="110"/>
      <c r="F75" s="16"/>
      <c r="G75" s="23"/>
    </row>
    <row r="76" spans="2:7" s="6" customFormat="1" ht="17.25" x14ac:dyDescent="0.3">
      <c r="B76" s="21"/>
      <c r="C76" s="8"/>
      <c r="D76" s="7"/>
      <c r="E76" s="114"/>
      <c r="F76" s="16"/>
      <c r="G76" s="23"/>
    </row>
    <row r="77" spans="2:7" s="6" customFormat="1" ht="17.25" x14ac:dyDescent="0.3">
      <c r="B77" s="21"/>
      <c r="C77" s="8"/>
      <c r="D77" s="7"/>
      <c r="E77" s="111" t="s">
        <v>186</v>
      </c>
      <c r="F77" s="16"/>
      <c r="G77" s="23"/>
    </row>
    <row r="78" spans="2:7" s="6" customFormat="1" ht="17.25" x14ac:dyDescent="0.3">
      <c r="B78" s="21"/>
      <c r="C78" s="8"/>
      <c r="D78" s="7"/>
      <c r="E78" s="112"/>
      <c r="F78" s="16"/>
      <c r="G78" s="23"/>
    </row>
    <row r="79" spans="2:7" s="6" customFormat="1" ht="17.25" x14ac:dyDescent="0.3">
      <c r="B79" s="21"/>
      <c r="C79" s="8"/>
      <c r="D79" s="7"/>
      <c r="E79" s="112"/>
      <c r="F79" s="16"/>
      <c r="G79" s="23"/>
    </row>
    <row r="80" spans="2:7" s="6" customFormat="1" ht="17.25" x14ac:dyDescent="0.3">
      <c r="B80" s="21"/>
      <c r="C80" s="8"/>
      <c r="D80" s="7"/>
      <c r="E80" s="112"/>
      <c r="F80" s="16"/>
      <c r="G80" s="23"/>
    </row>
    <row r="81" spans="2:7" s="6" customFormat="1" ht="17.25" x14ac:dyDescent="0.3">
      <c r="B81" s="21"/>
      <c r="C81" s="8"/>
      <c r="D81" s="7"/>
      <c r="E81" s="112"/>
      <c r="F81" s="16"/>
      <c r="G81" s="23"/>
    </row>
    <row r="82" spans="2:7" s="6" customFormat="1" ht="17.25" x14ac:dyDescent="0.3">
      <c r="B82" s="21"/>
      <c r="C82" s="8"/>
      <c r="D82" s="7"/>
      <c r="E82" s="112"/>
      <c r="F82" s="16"/>
      <c r="G82" s="23"/>
    </row>
    <row r="83" spans="2:7" s="6" customFormat="1" ht="17.25" x14ac:dyDescent="0.3">
      <c r="B83" s="21"/>
      <c r="C83" s="8"/>
      <c r="D83" s="7"/>
      <c r="E83" s="112"/>
      <c r="F83" s="16"/>
      <c r="G83" s="23"/>
    </row>
    <row r="84" spans="2:7" s="6" customFormat="1" ht="17.25" x14ac:dyDescent="0.3">
      <c r="B84" s="21"/>
      <c r="C84" s="8"/>
      <c r="D84" s="7"/>
      <c r="E84" s="112"/>
      <c r="F84" s="16"/>
      <c r="G84" s="23"/>
    </row>
    <row r="85" spans="2:7" s="6" customFormat="1" ht="17.25" x14ac:dyDescent="0.3">
      <c r="B85" s="21"/>
      <c r="C85" s="8"/>
      <c r="D85" s="7"/>
      <c r="E85" s="113"/>
      <c r="F85" s="17"/>
      <c r="G85" s="24"/>
    </row>
    <row r="86" spans="2:7" s="6" customFormat="1" ht="15" customHeight="1" x14ac:dyDescent="0.25">
      <c r="B86" s="21"/>
      <c r="C86" s="8"/>
      <c r="D86" s="7"/>
      <c r="E86" s="122" t="s">
        <v>180</v>
      </c>
      <c r="F86" s="131" t="s">
        <v>187</v>
      </c>
      <c r="G86" s="117"/>
    </row>
    <row r="87" spans="2:7" s="6" customFormat="1" ht="15.75" customHeight="1" x14ac:dyDescent="0.25">
      <c r="B87" s="21"/>
      <c r="C87" s="8"/>
      <c r="D87" s="7"/>
      <c r="E87" s="123"/>
      <c r="F87" s="132"/>
      <c r="G87" s="119"/>
    </row>
    <row r="88" spans="2:7" s="6" customFormat="1" ht="15.75" customHeight="1" x14ac:dyDescent="0.25">
      <c r="B88" s="21"/>
      <c r="C88" s="8"/>
      <c r="D88" s="7"/>
      <c r="E88" s="123"/>
      <c r="F88" s="132"/>
      <c r="G88" s="119"/>
    </row>
    <row r="89" spans="2:7" s="6" customFormat="1" ht="15.75" customHeight="1" x14ac:dyDescent="0.25">
      <c r="B89" s="21"/>
      <c r="C89" s="8"/>
      <c r="D89" s="7"/>
      <c r="E89" s="123"/>
      <c r="F89" s="132"/>
      <c r="G89" s="119"/>
    </row>
    <row r="90" spans="2:7" s="6" customFormat="1" ht="15.75" customHeight="1" x14ac:dyDescent="0.25">
      <c r="B90" s="21"/>
      <c r="C90" s="8"/>
      <c r="D90" s="7"/>
      <c r="E90" s="123"/>
      <c r="F90" s="132"/>
      <c r="G90" s="119"/>
    </row>
    <row r="91" spans="2:7" s="6" customFormat="1" ht="15.75" customHeight="1" x14ac:dyDescent="0.25">
      <c r="B91" s="21"/>
      <c r="C91" s="8"/>
      <c r="D91" s="7"/>
      <c r="E91" s="123"/>
      <c r="F91" s="132"/>
      <c r="G91" s="119"/>
    </row>
    <row r="92" spans="2:7" s="6" customFormat="1" ht="15.75" customHeight="1" x14ac:dyDescent="0.25">
      <c r="B92" s="21"/>
      <c r="C92" s="8"/>
      <c r="D92" s="7"/>
      <c r="E92" s="123"/>
      <c r="F92" s="132"/>
      <c r="G92" s="119"/>
    </row>
    <row r="93" spans="2:7" s="6" customFormat="1" ht="15.75" customHeight="1" x14ac:dyDescent="0.25">
      <c r="B93" s="21"/>
      <c r="C93" s="8"/>
      <c r="D93" s="7"/>
      <c r="E93" s="123"/>
      <c r="F93" s="132"/>
      <c r="G93" s="119"/>
    </row>
    <row r="94" spans="2:7" s="6" customFormat="1" ht="15.75" customHeight="1" x14ac:dyDescent="0.25">
      <c r="B94" s="21"/>
      <c r="C94" s="8"/>
      <c r="D94" s="7"/>
      <c r="E94" s="124"/>
      <c r="F94" s="133"/>
      <c r="G94" s="121"/>
    </row>
    <row r="95" spans="2:7" s="6" customFormat="1" ht="17.25" customHeight="1" x14ac:dyDescent="0.25">
      <c r="B95" s="21"/>
      <c r="C95" s="8"/>
      <c r="D95" s="7"/>
      <c r="E95" s="137" t="s">
        <v>180</v>
      </c>
      <c r="F95" s="125"/>
      <c r="G95" s="126"/>
    </row>
    <row r="96" spans="2:7" s="6" customFormat="1" ht="17.25" customHeight="1" x14ac:dyDescent="0.25">
      <c r="B96" s="21"/>
      <c r="C96" s="8"/>
      <c r="D96" s="7"/>
      <c r="E96" s="138"/>
      <c r="F96" s="127"/>
      <c r="G96" s="128"/>
    </row>
    <row r="97" spans="2:7" s="6" customFormat="1" ht="17.25" customHeight="1" x14ac:dyDescent="0.25">
      <c r="B97" s="21"/>
      <c r="C97" s="8"/>
      <c r="D97" s="7"/>
      <c r="E97" s="138"/>
      <c r="F97" s="127"/>
      <c r="G97" s="128"/>
    </row>
    <row r="98" spans="2:7" s="6" customFormat="1" ht="17.25" customHeight="1" x14ac:dyDescent="0.25">
      <c r="B98" s="21"/>
      <c r="C98" s="8"/>
      <c r="D98" s="7"/>
      <c r="E98" s="138"/>
      <c r="F98" s="127"/>
      <c r="G98" s="128"/>
    </row>
    <row r="99" spans="2:7" s="6" customFormat="1" ht="17.25" customHeight="1" x14ac:dyDescent="0.25">
      <c r="B99" s="21"/>
      <c r="C99" s="8"/>
      <c r="D99" s="7"/>
      <c r="E99" s="138"/>
      <c r="F99" s="127"/>
      <c r="G99" s="128"/>
    </row>
    <row r="100" spans="2:7" s="6" customFormat="1" ht="17.25" customHeight="1" x14ac:dyDescent="0.25">
      <c r="B100" s="21"/>
      <c r="C100" s="8"/>
      <c r="D100" s="7"/>
      <c r="E100" s="138"/>
      <c r="F100" s="127"/>
      <c r="G100" s="128"/>
    </row>
    <row r="101" spans="2:7" s="6" customFormat="1" ht="15.75" customHeight="1" x14ac:dyDescent="0.25">
      <c r="B101" s="21"/>
      <c r="C101" s="8"/>
      <c r="D101" s="7"/>
      <c r="E101" s="138"/>
      <c r="F101" s="127"/>
      <c r="G101" s="128"/>
    </row>
    <row r="102" spans="2:7" s="6" customFormat="1" ht="15.75" customHeight="1" x14ac:dyDescent="0.25">
      <c r="B102" s="21"/>
      <c r="C102" s="8"/>
      <c r="D102" s="7"/>
      <c r="E102" s="138"/>
      <c r="F102" s="127"/>
      <c r="G102" s="128"/>
    </row>
    <row r="103" spans="2:7" s="6" customFormat="1" ht="15.75" customHeight="1" x14ac:dyDescent="0.25">
      <c r="B103" s="21"/>
      <c r="C103" s="8"/>
      <c r="D103" s="7"/>
      <c r="E103" s="138"/>
      <c r="F103" s="127"/>
      <c r="G103" s="128"/>
    </row>
    <row r="104" spans="2:7" s="6" customFormat="1" ht="15.75" customHeight="1" x14ac:dyDescent="0.25">
      <c r="B104" s="21"/>
      <c r="C104" s="8"/>
      <c r="D104" s="7"/>
      <c r="E104" s="139"/>
      <c r="F104" s="129"/>
      <c r="G104" s="130"/>
    </row>
    <row r="105" spans="2:7" s="6" customFormat="1" ht="15.75" customHeight="1" x14ac:dyDescent="0.25">
      <c r="B105" s="21"/>
      <c r="C105" s="8"/>
      <c r="D105" s="7"/>
      <c r="E105" s="137" t="s">
        <v>188</v>
      </c>
      <c r="F105" s="125"/>
      <c r="G105" s="126"/>
    </row>
    <row r="106" spans="2:7" s="6" customFormat="1" ht="15.75" customHeight="1" x14ac:dyDescent="0.25">
      <c r="B106" s="21"/>
      <c r="C106" s="8"/>
      <c r="D106" s="7"/>
      <c r="E106" s="138"/>
      <c r="F106" s="127"/>
      <c r="G106" s="128"/>
    </row>
    <row r="107" spans="2:7" s="6" customFormat="1" ht="15.75" customHeight="1" x14ac:dyDescent="0.25">
      <c r="B107" s="21"/>
      <c r="C107" s="8"/>
      <c r="D107" s="7"/>
      <c r="E107" s="138"/>
      <c r="F107" s="127"/>
      <c r="G107" s="128"/>
    </row>
    <row r="108" spans="2:7" s="6" customFormat="1" ht="15.75" customHeight="1" x14ac:dyDescent="0.25">
      <c r="B108" s="21"/>
      <c r="C108" s="8"/>
      <c r="D108" s="7"/>
      <c r="E108" s="138"/>
      <c r="F108" s="127"/>
      <c r="G108" s="128"/>
    </row>
    <row r="109" spans="2:7" s="6" customFormat="1" ht="15.75" customHeight="1" x14ac:dyDescent="0.25">
      <c r="B109" s="21"/>
      <c r="C109" s="8"/>
      <c r="D109" s="7"/>
      <c r="E109" s="139"/>
      <c r="F109" s="129"/>
      <c r="G109" s="130"/>
    </row>
    <row r="110" spans="2:7" s="6" customFormat="1" ht="15.75" customHeight="1" x14ac:dyDescent="0.25">
      <c r="B110" s="21"/>
      <c r="C110" s="8"/>
      <c r="D110" s="7"/>
      <c r="E110" s="134"/>
      <c r="F110" s="18"/>
      <c r="G110" s="25"/>
    </row>
    <row r="111" spans="2:7" s="6" customFormat="1" ht="15.75" customHeight="1" x14ac:dyDescent="0.25">
      <c r="B111" s="21"/>
      <c r="C111" s="8"/>
      <c r="D111" s="7"/>
      <c r="E111" s="135"/>
      <c r="F111" s="19"/>
      <c r="G111" s="26"/>
    </row>
    <row r="112" spans="2:7" s="6" customFormat="1" ht="15.75" customHeight="1" x14ac:dyDescent="0.25">
      <c r="B112" s="21"/>
      <c r="C112" s="8"/>
      <c r="D112" s="7"/>
      <c r="E112" s="135"/>
      <c r="F112" s="19"/>
      <c r="G112" s="26"/>
    </row>
    <row r="113" spans="2:7" s="6" customFormat="1" ht="15.75" customHeight="1" x14ac:dyDescent="0.25">
      <c r="B113" s="21"/>
      <c r="C113" s="8"/>
      <c r="D113" s="7"/>
      <c r="E113" s="135"/>
      <c r="F113" s="19"/>
      <c r="G113" s="26"/>
    </row>
    <row r="114" spans="2:7" s="6" customFormat="1" ht="15.75" customHeight="1" x14ac:dyDescent="0.25">
      <c r="B114" s="21"/>
      <c r="C114" s="8"/>
      <c r="D114" s="7"/>
      <c r="E114" s="136"/>
      <c r="F114" s="20"/>
      <c r="G114" s="27"/>
    </row>
    <row r="115" spans="2:7" s="6" customFormat="1" ht="15" customHeight="1" x14ac:dyDescent="0.25">
      <c r="B115" s="21"/>
      <c r="C115" s="8"/>
      <c r="D115" s="7"/>
      <c r="E115" s="122" t="s">
        <v>180</v>
      </c>
      <c r="F115" s="116" t="s">
        <v>189</v>
      </c>
      <c r="G115" s="117"/>
    </row>
    <row r="116" spans="2:7" s="6" customFormat="1" ht="15.75" customHeight="1" x14ac:dyDescent="0.25">
      <c r="B116" s="21"/>
      <c r="C116" s="8"/>
      <c r="D116" s="7"/>
      <c r="E116" s="123"/>
      <c r="F116" s="118"/>
      <c r="G116" s="119"/>
    </row>
    <row r="117" spans="2:7" s="6" customFormat="1" ht="15.75" customHeight="1" x14ac:dyDescent="0.25">
      <c r="B117" s="21"/>
      <c r="C117" s="8"/>
      <c r="D117" s="7"/>
      <c r="E117" s="123"/>
      <c r="F117" s="118"/>
      <c r="G117" s="119"/>
    </row>
    <row r="118" spans="2:7" s="6" customFormat="1" ht="15.75" customHeight="1" x14ac:dyDescent="0.25">
      <c r="B118" s="21"/>
      <c r="C118" s="8"/>
      <c r="D118" s="7"/>
      <c r="E118" s="123"/>
      <c r="F118" s="118"/>
      <c r="G118" s="119"/>
    </row>
    <row r="119" spans="2:7" s="6" customFormat="1" ht="15.75" customHeight="1" x14ac:dyDescent="0.25">
      <c r="B119" s="21"/>
      <c r="C119" s="8"/>
      <c r="D119" s="7"/>
      <c r="E119" s="123"/>
      <c r="F119" s="118"/>
      <c r="G119" s="119"/>
    </row>
    <row r="120" spans="2:7" s="6" customFormat="1" ht="15.75" customHeight="1" x14ac:dyDescent="0.25">
      <c r="B120" s="21"/>
      <c r="C120" s="8"/>
      <c r="D120" s="7"/>
      <c r="E120" s="123"/>
      <c r="F120" s="118"/>
      <c r="G120" s="119"/>
    </row>
    <row r="121" spans="2:7" s="6" customFormat="1" ht="15.75" customHeight="1" x14ac:dyDescent="0.25">
      <c r="B121" s="21"/>
      <c r="C121" s="8"/>
      <c r="D121" s="7"/>
      <c r="E121" s="123"/>
      <c r="F121" s="118"/>
      <c r="G121" s="119"/>
    </row>
    <row r="122" spans="2:7" s="6" customFormat="1" ht="15.75" customHeight="1" x14ac:dyDescent="0.25">
      <c r="B122" s="21"/>
      <c r="C122" s="8"/>
      <c r="D122" s="7"/>
      <c r="E122" s="123"/>
      <c r="F122" s="118"/>
      <c r="G122" s="119"/>
    </row>
    <row r="123" spans="2:7" s="6" customFormat="1" ht="15.75" customHeight="1" x14ac:dyDescent="0.25">
      <c r="B123" s="21"/>
      <c r="C123" s="8"/>
      <c r="D123" s="7"/>
      <c r="E123" s="123"/>
      <c r="F123" s="118"/>
      <c r="G123" s="119"/>
    </row>
    <row r="124" spans="2:7" s="6" customFormat="1" ht="15.75" customHeight="1" x14ac:dyDescent="0.25">
      <c r="B124" s="21"/>
      <c r="C124" s="8"/>
      <c r="D124" s="7"/>
      <c r="E124" s="123"/>
      <c r="F124" s="118"/>
      <c r="G124" s="119"/>
    </row>
    <row r="125" spans="2:7" s="6" customFormat="1" ht="15.75" customHeight="1" x14ac:dyDescent="0.25">
      <c r="B125" s="21"/>
      <c r="C125" s="8"/>
      <c r="D125" s="7"/>
      <c r="E125" s="124"/>
      <c r="F125" s="120"/>
      <c r="G125" s="121"/>
    </row>
    <row r="126" spans="2:7" s="6" customFormat="1" ht="15.75" x14ac:dyDescent="0.25">
      <c r="B126" s="21"/>
      <c r="C126" s="8"/>
      <c r="D126" s="7"/>
      <c r="E126" s="111" t="s">
        <v>188</v>
      </c>
      <c r="F126" s="125"/>
      <c r="G126" s="126"/>
    </row>
    <row r="127" spans="2:7" s="6" customFormat="1" ht="15.75" x14ac:dyDescent="0.25">
      <c r="B127" s="21"/>
      <c r="C127" s="8"/>
      <c r="D127" s="7"/>
      <c r="E127" s="112"/>
      <c r="F127" s="127"/>
      <c r="G127" s="128"/>
    </row>
    <row r="128" spans="2:7" s="6" customFormat="1" ht="15.75" x14ac:dyDescent="0.25">
      <c r="B128" s="21"/>
      <c r="C128" s="8"/>
      <c r="D128" s="7"/>
      <c r="E128" s="112"/>
      <c r="F128" s="127"/>
      <c r="G128" s="128"/>
    </row>
    <row r="129" spans="2:7" s="6" customFormat="1" ht="15.75" x14ac:dyDescent="0.25">
      <c r="B129" s="21"/>
      <c r="C129" s="8"/>
      <c r="D129" s="7"/>
      <c r="E129" s="112"/>
      <c r="F129" s="127"/>
      <c r="G129" s="128"/>
    </row>
    <row r="130" spans="2:7" s="6" customFormat="1" ht="15.75" x14ac:dyDescent="0.25">
      <c r="B130" s="21"/>
      <c r="C130" s="8"/>
      <c r="D130" s="7"/>
      <c r="E130" s="112"/>
      <c r="F130" s="127"/>
      <c r="G130" s="128"/>
    </row>
    <row r="131" spans="2:7" s="6" customFormat="1" ht="15.75" x14ac:dyDescent="0.25">
      <c r="B131" s="21"/>
      <c r="C131" s="8"/>
      <c r="D131" s="7"/>
      <c r="E131" s="112"/>
      <c r="F131" s="127"/>
      <c r="G131" s="128"/>
    </row>
    <row r="132" spans="2:7" s="6" customFormat="1" ht="15.75" x14ac:dyDescent="0.25">
      <c r="B132" s="21"/>
      <c r="C132" s="8"/>
      <c r="D132" s="7"/>
      <c r="E132" s="112"/>
      <c r="F132" s="127"/>
      <c r="G132" s="128"/>
    </row>
    <row r="133" spans="2:7" s="6" customFormat="1" ht="15.75" x14ac:dyDescent="0.25">
      <c r="B133" s="21"/>
      <c r="C133" s="8"/>
      <c r="D133" s="7"/>
      <c r="E133" s="112"/>
      <c r="F133" s="127"/>
      <c r="G133" s="128"/>
    </row>
    <row r="134" spans="2:7" s="6" customFormat="1" ht="15.75" x14ac:dyDescent="0.25">
      <c r="B134" s="21"/>
      <c r="C134" s="8"/>
      <c r="D134" s="7"/>
      <c r="E134" s="112"/>
      <c r="F134" s="127"/>
      <c r="G134" s="128"/>
    </row>
    <row r="135" spans="2:7" s="6" customFormat="1" ht="15.75" x14ac:dyDescent="0.25">
      <c r="B135" s="21"/>
      <c r="C135" s="8"/>
      <c r="D135" s="7"/>
      <c r="E135" s="112"/>
      <c r="F135" s="127"/>
      <c r="G135" s="128"/>
    </row>
    <row r="136" spans="2:7" s="6" customFormat="1" ht="15.75" x14ac:dyDescent="0.25">
      <c r="B136" s="21"/>
      <c r="C136" s="8"/>
      <c r="D136" s="7"/>
      <c r="E136" s="112"/>
      <c r="F136" s="127"/>
      <c r="G136" s="128"/>
    </row>
    <row r="137" spans="2:7" s="6" customFormat="1" ht="15.75" x14ac:dyDescent="0.25">
      <c r="B137" s="21"/>
      <c r="C137" s="8"/>
      <c r="D137" s="7"/>
      <c r="E137" s="112"/>
      <c r="F137" s="127"/>
      <c r="G137" s="128"/>
    </row>
    <row r="138" spans="2:7" s="6" customFormat="1" ht="15.75" x14ac:dyDescent="0.25">
      <c r="B138" s="21"/>
      <c r="C138" s="8"/>
      <c r="D138" s="7"/>
      <c r="E138" s="112"/>
      <c r="F138" s="127"/>
      <c r="G138" s="128"/>
    </row>
    <row r="139" spans="2:7" s="6" customFormat="1" ht="15.75" x14ac:dyDescent="0.25">
      <c r="B139" s="28"/>
      <c r="C139" s="10"/>
      <c r="D139" s="9"/>
      <c r="E139" s="113"/>
      <c r="F139" s="129"/>
      <c r="G139" s="130"/>
    </row>
    <row r="140" spans="2:7" s="6" customFormat="1" ht="36.75" customHeight="1" thickBot="1" x14ac:dyDescent="0.3">
      <c r="B140" s="157" t="s">
        <v>190</v>
      </c>
      <c r="C140" s="158"/>
      <c r="D140" s="155" t="s">
        <v>191</v>
      </c>
      <c r="E140" s="155"/>
      <c r="F140" s="155"/>
      <c r="G140" s="156"/>
    </row>
    <row r="141" spans="2:7" s="6" customFormat="1" x14ac:dyDescent="0.25"/>
    <row r="142" spans="2:7" s="6" customFormat="1" x14ac:dyDescent="0.25"/>
    <row r="143" spans="2:7" s="6" customFormat="1" x14ac:dyDescent="0.25"/>
    <row r="144" spans="2:7" s="6" customFormat="1" x14ac:dyDescent="0.25"/>
    <row r="145" s="6" customFormat="1" x14ac:dyDescent="0.25"/>
    <row r="146" s="6" customFormat="1" x14ac:dyDescent="0.25"/>
    <row r="147" s="6" customFormat="1" x14ac:dyDescent="0.25"/>
    <row r="148" s="6" customFormat="1" x14ac:dyDescent="0.25"/>
    <row r="149" s="6" customFormat="1" x14ac:dyDescent="0.25"/>
    <row r="150" s="6" customFormat="1" x14ac:dyDescent="0.25"/>
    <row r="151" s="6" customFormat="1" x14ac:dyDescent="0.25"/>
    <row r="152" s="6" customFormat="1" x14ac:dyDescent="0.25"/>
    <row r="153" s="6" customFormat="1" x14ac:dyDescent="0.25"/>
    <row r="154" s="6" customFormat="1" x14ac:dyDescent="0.25"/>
    <row r="155" s="6" customFormat="1" x14ac:dyDescent="0.25"/>
    <row r="156" s="6" customFormat="1" x14ac:dyDescent="0.25"/>
    <row r="157" s="6" customFormat="1" x14ac:dyDescent="0.25"/>
    <row r="158" s="6" customFormat="1" x14ac:dyDescent="0.25"/>
    <row r="159" s="6" customFormat="1" x14ac:dyDescent="0.25"/>
    <row r="160" s="6" customFormat="1" x14ac:dyDescent="0.25"/>
    <row r="161" s="6" customFormat="1" x14ac:dyDescent="0.25"/>
    <row r="162" s="6" customFormat="1" x14ac:dyDescent="0.25"/>
    <row r="163" s="6" customFormat="1" x14ac:dyDescent="0.25"/>
    <row r="164" s="6" customFormat="1" x14ac:dyDescent="0.25"/>
    <row r="165" s="6" customFormat="1" x14ac:dyDescent="0.25"/>
    <row r="166" s="6" customFormat="1" x14ac:dyDescent="0.25"/>
    <row r="167" s="6" customFormat="1" x14ac:dyDescent="0.25"/>
    <row r="168" s="6" customFormat="1" x14ac:dyDescent="0.25"/>
    <row r="169" s="6" customFormat="1" x14ac:dyDescent="0.25"/>
    <row r="170" s="6" customFormat="1" x14ac:dyDescent="0.25"/>
    <row r="171" s="6" customFormat="1" x14ac:dyDescent="0.25"/>
    <row r="172" s="6" customFormat="1" x14ac:dyDescent="0.25"/>
    <row r="173" s="6" customFormat="1" x14ac:dyDescent="0.25"/>
    <row r="174" s="6" customFormat="1" x14ac:dyDescent="0.25"/>
    <row r="175" s="6" customFormat="1" x14ac:dyDescent="0.25"/>
    <row r="176" s="6" customFormat="1" x14ac:dyDescent="0.25"/>
    <row r="177" s="6" customFormat="1" x14ac:dyDescent="0.25"/>
    <row r="178" s="6" customFormat="1" x14ac:dyDescent="0.25"/>
    <row r="179" s="6" customFormat="1" x14ac:dyDescent="0.25"/>
    <row r="180" s="6" customFormat="1" x14ac:dyDescent="0.25"/>
    <row r="181" s="6" customFormat="1" x14ac:dyDescent="0.25"/>
    <row r="182" s="6" customFormat="1" x14ac:dyDescent="0.25"/>
    <row r="183" s="6" customFormat="1" x14ac:dyDescent="0.25"/>
    <row r="184" s="6" customFormat="1" x14ac:dyDescent="0.25"/>
    <row r="185" s="6" customFormat="1" x14ac:dyDescent="0.25"/>
    <row r="186" s="6" customFormat="1" x14ac:dyDescent="0.25"/>
    <row r="187" s="6" customFormat="1" x14ac:dyDescent="0.25"/>
    <row r="188" s="6" customFormat="1" x14ac:dyDescent="0.25"/>
    <row r="189" s="6" customFormat="1" x14ac:dyDescent="0.25"/>
    <row r="190" s="6" customFormat="1" x14ac:dyDescent="0.25"/>
    <row r="191" s="6" customFormat="1" x14ac:dyDescent="0.25"/>
    <row r="192" s="6" customFormat="1" x14ac:dyDescent="0.25"/>
    <row r="193" s="6" customFormat="1" x14ac:dyDescent="0.25"/>
    <row r="194" s="6" customFormat="1" x14ac:dyDescent="0.25"/>
    <row r="195" s="6" customFormat="1" x14ac:dyDescent="0.25"/>
    <row r="196" s="6" customFormat="1" x14ac:dyDescent="0.25"/>
    <row r="197" s="6" customFormat="1" x14ac:dyDescent="0.25"/>
    <row r="198" s="6" customFormat="1" x14ac:dyDescent="0.25"/>
    <row r="199" s="6" customFormat="1" x14ac:dyDescent="0.25"/>
    <row r="200" s="6" customFormat="1" x14ac:dyDescent="0.25"/>
    <row r="201" s="6" customFormat="1" x14ac:dyDescent="0.25"/>
    <row r="202" s="6" customFormat="1" x14ac:dyDescent="0.25"/>
    <row r="203" s="6" customFormat="1" x14ac:dyDescent="0.25"/>
    <row r="204" s="6" customFormat="1" x14ac:dyDescent="0.25"/>
    <row r="205" s="6" customFormat="1" x14ac:dyDescent="0.25"/>
    <row r="206" s="6" customFormat="1" x14ac:dyDescent="0.25"/>
    <row r="207" s="6" customFormat="1" x14ac:dyDescent="0.25"/>
    <row r="208" s="6" customFormat="1" x14ac:dyDescent="0.25"/>
    <row r="209" s="6" customFormat="1" x14ac:dyDescent="0.25"/>
    <row r="210" s="6" customFormat="1" x14ac:dyDescent="0.25"/>
    <row r="211" s="6" customFormat="1" x14ac:dyDescent="0.25"/>
    <row r="212" s="6" customFormat="1" x14ac:dyDescent="0.25"/>
    <row r="213" s="6" customFormat="1" x14ac:dyDescent="0.25"/>
    <row r="214" s="6" customFormat="1" x14ac:dyDescent="0.25"/>
    <row r="215" s="6" customFormat="1" x14ac:dyDescent="0.25"/>
    <row r="216" s="6" customFormat="1" x14ac:dyDescent="0.25"/>
    <row r="217" s="6" customFormat="1" x14ac:dyDescent="0.25"/>
    <row r="218" s="6" customFormat="1" x14ac:dyDescent="0.25"/>
    <row r="219" s="6" customFormat="1" x14ac:dyDescent="0.25"/>
    <row r="220" s="6" customFormat="1" x14ac:dyDescent="0.25"/>
    <row r="221" s="6" customFormat="1" x14ac:dyDescent="0.25"/>
    <row r="222" s="6" customFormat="1" x14ac:dyDescent="0.25"/>
    <row r="223" s="6" customFormat="1" x14ac:dyDescent="0.25"/>
    <row r="224" s="6" customFormat="1" x14ac:dyDescent="0.25"/>
    <row r="225" s="6" customFormat="1" x14ac:dyDescent="0.25"/>
    <row r="226" s="6" customFormat="1" x14ac:dyDescent="0.25"/>
    <row r="227" s="6" customFormat="1" x14ac:dyDescent="0.25"/>
    <row r="228" s="6" customFormat="1" x14ac:dyDescent="0.25"/>
    <row r="229" s="6" customFormat="1" x14ac:dyDescent="0.25"/>
    <row r="230" s="6" customFormat="1" x14ac:dyDescent="0.25"/>
    <row r="231" s="6" customFormat="1" x14ac:dyDescent="0.25"/>
    <row r="232" s="6" customFormat="1" x14ac:dyDescent="0.25"/>
    <row r="233" s="6" customFormat="1" x14ac:dyDescent="0.25"/>
    <row r="234" s="6" customFormat="1" x14ac:dyDescent="0.25"/>
    <row r="235" s="6" customFormat="1" x14ac:dyDescent="0.25"/>
    <row r="236" s="6" customFormat="1" x14ac:dyDescent="0.25"/>
    <row r="237" s="6" customFormat="1" x14ac:dyDescent="0.25"/>
    <row r="238" s="6" customFormat="1" x14ac:dyDescent="0.25"/>
    <row r="239" s="6" customFormat="1" x14ac:dyDescent="0.25"/>
    <row r="240" s="6" customFormat="1" x14ac:dyDescent="0.25"/>
    <row r="241" s="6" customFormat="1" x14ac:dyDescent="0.25"/>
    <row r="242" s="6" customFormat="1" x14ac:dyDescent="0.25"/>
    <row r="243" s="6" customFormat="1" x14ac:dyDescent="0.25"/>
    <row r="244" s="6" customFormat="1" x14ac:dyDescent="0.25"/>
    <row r="245" s="6" customFormat="1" x14ac:dyDescent="0.25"/>
    <row r="246" s="6" customFormat="1" x14ac:dyDescent="0.25"/>
    <row r="247" s="6" customFormat="1" x14ac:dyDescent="0.25"/>
    <row r="248" s="6" customFormat="1" x14ac:dyDescent="0.25"/>
    <row r="249" s="6" customFormat="1" x14ac:dyDescent="0.25"/>
    <row r="250" s="6" customFormat="1" x14ac:dyDescent="0.25"/>
    <row r="251" s="6" customFormat="1" x14ac:dyDescent="0.25"/>
    <row r="252" s="6" customFormat="1" x14ac:dyDescent="0.25"/>
    <row r="253" s="6" customFormat="1" x14ac:dyDescent="0.25"/>
    <row r="254" s="6" customFormat="1" x14ac:dyDescent="0.25"/>
    <row r="255" s="6" customFormat="1" x14ac:dyDescent="0.25"/>
    <row r="256" s="6" customFormat="1" x14ac:dyDescent="0.25"/>
    <row r="257" s="6" customFormat="1" x14ac:dyDescent="0.25"/>
    <row r="258" s="6" customFormat="1" x14ac:dyDescent="0.25"/>
    <row r="259" s="6" customFormat="1" x14ac:dyDescent="0.25"/>
    <row r="260" s="6" customFormat="1" x14ac:dyDescent="0.25"/>
    <row r="261" s="6" customFormat="1" x14ac:dyDescent="0.25"/>
    <row r="262" s="6" customFormat="1" x14ac:dyDescent="0.25"/>
    <row r="263" s="6" customFormat="1" x14ac:dyDescent="0.25"/>
    <row r="264" s="6" customFormat="1" x14ac:dyDescent="0.25"/>
    <row r="265" s="6" customFormat="1" x14ac:dyDescent="0.25"/>
    <row r="266" s="6" customFormat="1" x14ac:dyDescent="0.25"/>
    <row r="267" s="6" customFormat="1" x14ac:dyDescent="0.25"/>
    <row r="268" s="6" customFormat="1" x14ac:dyDescent="0.25"/>
    <row r="269" s="6" customFormat="1" x14ac:dyDescent="0.25"/>
    <row r="270" s="6" customFormat="1" x14ac:dyDescent="0.25"/>
    <row r="271" s="6" customFormat="1" x14ac:dyDescent="0.25"/>
    <row r="272" s="6" customFormat="1" x14ac:dyDescent="0.25"/>
    <row r="273" s="6" customFormat="1" x14ac:dyDescent="0.25"/>
    <row r="274" s="6" customFormat="1" x14ac:dyDescent="0.25"/>
    <row r="275" s="6" customFormat="1" x14ac:dyDescent="0.25"/>
    <row r="276" s="6" customFormat="1" x14ac:dyDescent="0.25"/>
    <row r="277" s="6" customFormat="1" x14ac:dyDescent="0.25"/>
    <row r="278" s="6" customFormat="1" x14ac:dyDescent="0.25"/>
    <row r="279" s="6" customFormat="1" x14ac:dyDescent="0.25"/>
    <row r="280" s="6" customFormat="1" x14ac:dyDescent="0.25"/>
    <row r="281" s="6" customFormat="1" x14ac:dyDescent="0.25"/>
    <row r="282" s="6" customFormat="1" x14ac:dyDescent="0.25"/>
    <row r="283" s="6" customFormat="1" x14ac:dyDescent="0.25"/>
    <row r="284" s="6" customFormat="1" x14ac:dyDescent="0.25"/>
    <row r="285" s="6" customFormat="1" x14ac:dyDescent="0.25"/>
    <row r="286" s="6" customFormat="1" x14ac:dyDescent="0.25"/>
    <row r="287" s="6" customFormat="1" x14ac:dyDescent="0.25"/>
    <row r="288" s="6" customFormat="1" x14ac:dyDescent="0.25"/>
    <row r="289" s="6" customFormat="1" x14ac:dyDescent="0.25"/>
    <row r="290" s="6" customFormat="1" x14ac:dyDescent="0.25"/>
    <row r="291" s="6" customFormat="1" x14ac:dyDescent="0.25"/>
    <row r="292" s="6" customFormat="1" x14ac:dyDescent="0.25"/>
    <row r="293" s="6" customFormat="1" x14ac:dyDescent="0.25"/>
    <row r="294" s="6" customFormat="1" x14ac:dyDescent="0.25"/>
    <row r="295" s="6" customFormat="1" x14ac:dyDescent="0.25"/>
    <row r="296" s="6" customFormat="1" x14ac:dyDescent="0.25"/>
    <row r="297" s="6" customFormat="1" x14ac:dyDescent="0.25"/>
    <row r="298" s="6" customFormat="1" x14ac:dyDescent="0.25"/>
    <row r="299" s="6" customFormat="1" x14ac:dyDescent="0.25"/>
    <row r="300" s="6" customFormat="1" x14ac:dyDescent="0.25"/>
    <row r="301" s="6" customFormat="1" x14ac:dyDescent="0.25"/>
    <row r="302" s="6" customFormat="1" x14ac:dyDescent="0.25"/>
    <row r="303" s="6" customFormat="1" x14ac:dyDescent="0.25"/>
    <row r="304" s="6" customFormat="1" x14ac:dyDescent="0.25"/>
    <row r="305" s="6" customFormat="1" x14ac:dyDescent="0.25"/>
    <row r="306" s="6" customFormat="1" x14ac:dyDescent="0.25"/>
    <row r="307" s="6" customFormat="1" x14ac:dyDescent="0.25"/>
    <row r="308" s="6" customFormat="1" x14ac:dyDescent="0.25"/>
    <row r="309" s="6" customFormat="1" x14ac:dyDescent="0.25"/>
    <row r="310" s="6" customFormat="1" x14ac:dyDescent="0.25"/>
    <row r="311" s="6" customFormat="1" x14ac:dyDescent="0.25"/>
    <row r="312" s="6" customFormat="1" x14ac:dyDescent="0.25"/>
    <row r="313" s="6" customFormat="1" x14ac:dyDescent="0.25"/>
    <row r="314" s="6" customFormat="1" x14ac:dyDescent="0.25"/>
    <row r="315" s="6" customFormat="1" x14ac:dyDescent="0.25"/>
    <row r="316" s="6" customFormat="1" x14ac:dyDescent="0.25"/>
    <row r="317" s="6" customFormat="1" x14ac:dyDescent="0.25"/>
    <row r="318" s="6" customFormat="1" x14ac:dyDescent="0.25"/>
    <row r="319" s="6" customFormat="1" x14ac:dyDescent="0.25"/>
    <row r="320" s="6" customFormat="1" x14ac:dyDescent="0.25"/>
    <row r="321" s="6" customFormat="1" x14ac:dyDescent="0.25"/>
    <row r="322" s="6" customFormat="1" x14ac:dyDescent="0.25"/>
    <row r="323" s="6" customFormat="1" x14ac:dyDescent="0.25"/>
    <row r="324" s="6" customFormat="1" x14ac:dyDescent="0.25"/>
    <row r="325" s="6" customFormat="1" x14ac:dyDescent="0.25"/>
    <row r="326" s="6" customFormat="1" x14ac:dyDescent="0.25"/>
    <row r="327" s="6" customFormat="1" x14ac:dyDescent="0.25"/>
    <row r="328" s="6" customFormat="1" x14ac:dyDescent="0.25"/>
    <row r="329" s="6" customFormat="1" x14ac:dyDescent="0.25"/>
    <row r="330" s="6" customFormat="1" x14ac:dyDescent="0.25"/>
    <row r="331" s="6" customFormat="1" x14ac:dyDescent="0.25"/>
    <row r="332" s="6" customFormat="1" x14ac:dyDescent="0.25"/>
    <row r="333" s="6" customFormat="1" x14ac:dyDescent="0.25"/>
    <row r="334" s="6" customFormat="1" x14ac:dyDescent="0.25"/>
    <row r="335" s="6" customFormat="1" x14ac:dyDescent="0.25"/>
    <row r="336" s="6" customFormat="1" x14ac:dyDescent="0.25"/>
    <row r="337" s="6" customFormat="1" x14ac:dyDescent="0.25"/>
    <row r="338" s="6" customFormat="1" x14ac:dyDescent="0.25"/>
    <row r="339" s="6" customFormat="1" x14ac:dyDescent="0.25"/>
    <row r="340" s="6" customFormat="1" x14ac:dyDescent="0.25"/>
    <row r="341" s="6" customFormat="1" x14ac:dyDescent="0.25"/>
    <row r="342" s="6" customFormat="1" x14ac:dyDescent="0.25"/>
    <row r="343" s="6" customFormat="1" x14ac:dyDescent="0.25"/>
    <row r="344" s="6" customFormat="1" x14ac:dyDescent="0.25"/>
    <row r="345" s="6" customFormat="1" x14ac:dyDescent="0.25"/>
    <row r="346" s="6" customFormat="1" x14ac:dyDescent="0.25"/>
    <row r="347" s="6" customFormat="1" x14ac:dyDescent="0.25"/>
    <row r="348" s="6" customFormat="1" x14ac:dyDescent="0.25"/>
    <row r="349" s="6" customFormat="1" x14ac:dyDescent="0.25"/>
    <row r="350" s="6" customFormat="1" x14ac:dyDescent="0.25"/>
    <row r="351" s="6" customFormat="1" x14ac:dyDescent="0.25"/>
    <row r="352" s="6" customFormat="1" x14ac:dyDescent="0.25"/>
    <row r="353" s="6" customFormat="1" x14ac:dyDescent="0.25"/>
    <row r="354" s="6" customFormat="1" x14ac:dyDescent="0.25"/>
    <row r="355" s="6" customFormat="1" x14ac:dyDescent="0.25"/>
    <row r="356" s="6" customFormat="1" x14ac:dyDescent="0.25"/>
    <row r="357" s="6" customFormat="1" x14ac:dyDescent="0.25"/>
    <row r="358" s="6" customFormat="1" x14ac:dyDescent="0.25"/>
    <row r="359" s="6" customFormat="1" x14ac:dyDescent="0.25"/>
    <row r="360" s="6" customFormat="1" x14ac:dyDescent="0.25"/>
    <row r="361" s="6" customFormat="1" x14ac:dyDescent="0.25"/>
    <row r="362" s="6" customFormat="1" x14ac:dyDescent="0.25"/>
    <row r="363" s="6" customFormat="1" x14ac:dyDescent="0.25"/>
    <row r="364" s="6" customFormat="1" x14ac:dyDescent="0.25"/>
    <row r="365" s="6" customFormat="1" x14ac:dyDescent="0.25"/>
    <row r="366" s="6" customFormat="1" x14ac:dyDescent="0.25"/>
    <row r="367" s="6" customFormat="1" x14ac:dyDescent="0.25"/>
    <row r="368" s="6" customFormat="1" x14ac:dyDescent="0.25"/>
    <row r="369" s="6" customFormat="1" x14ac:dyDescent="0.25"/>
    <row r="370" s="6" customFormat="1" x14ac:dyDescent="0.25"/>
    <row r="371" s="6" customFormat="1" x14ac:dyDescent="0.25"/>
    <row r="372" s="6" customFormat="1" x14ac:dyDescent="0.25"/>
    <row r="373" s="6" customFormat="1" x14ac:dyDescent="0.25"/>
    <row r="374" s="6" customFormat="1" x14ac:dyDescent="0.25"/>
    <row r="375" s="6" customFormat="1" x14ac:dyDescent="0.25"/>
    <row r="376" s="6" customFormat="1" x14ac:dyDescent="0.25"/>
    <row r="377" s="6" customFormat="1" x14ac:dyDescent="0.25"/>
    <row r="378" s="6" customFormat="1" x14ac:dyDescent="0.25"/>
    <row r="379" s="6" customFormat="1" x14ac:dyDescent="0.25"/>
    <row r="380" s="6" customFormat="1" x14ac:dyDescent="0.25"/>
    <row r="381" s="6" customFormat="1" x14ac:dyDescent="0.25"/>
    <row r="382" s="6" customFormat="1" x14ac:dyDescent="0.25"/>
    <row r="383" s="6" customFormat="1" x14ac:dyDescent="0.25"/>
    <row r="384" s="6" customFormat="1" x14ac:dyDescent="0.25"/>
    <row r="385" s="6" customFormat="1" x14ac:dyDescent="0.25"/>
    <row r="386" s="6" customFormat="1" x14ac:dyDescent="0.25"/>
    <row r="387" s="6" customFormat="1" x14ac:dyDescent="0.25"/>
    <row r="388" s="6" customFormat="1" x14ac:dyDescent="0.25"/>
    <row r="389" s="6" customFormat="1" x14ac:dyDescent="0.25"/>
    <row r="390" s="6" customFormat="1" x14ac:dyDescent="0.25"/>
    <row r="391" s="6" customFormat="1" x14ac:dyDescent="0.25"/>
    <row r="392" s="6" customFormat="1" x14ac:dyDescent="0.25"/>
    <row r="393" s="6" customFormat="1" x14ac:dyDescent="0.25"/>
    <row r="394" s="6" customFormat="1" x14ac:dyDescent="0.25"/>
    <row r="395" s="6" customFormat="1" x14ac:dyDescent="0.25"/>
    <row r="396" s="6" customFormat="1" x14ac:dyDescent="0.25"/>
    <row r="397" s="6" customFormat="1" x14ac:dyDescent="0.25"/>
    <row r="398" s="6" customFormat="1" x14ac:dyDescent="0.25"/>
    <row r="399" s="6" customFormat="1" x14ac:dyDescent="0.25"/>
    <row r="400" s="6" customFormat="1" x14ac:dyDescent="0.25"/>
    <row r="401" s="6" customFormat="1" x14ac:dyDescent="0.25"/>
    <row r="402" s="6" customFormat="1" x14ac:dyDescent="0.25"/>
    <row r="403" s="6" customFormat="1" x14ac:dyDescent="0.25"/>
    <row r="404" s="6" customFormat="1" x14ac:dyDescent="0.25"/>
    <row r="405" s="6" customFormat="1" x14ac:dyDescent="0.25"/>
    <row r="406" s="6" customFormat="1" x14ac:dyDescent="0.25"/>
    <row r="407" s="6" customFormat="1" x14ac:dyDescent="0.25"/>
    <row r="408" s="6" customFormat="1" x14ac:dyDescent="0.25"/>
    <row r="409" s="6" customFormat="1" x14ac:dyDescent="0.25"/>
    <row r="410" s="6" customFormat="1" x14ac:dyDescent="0.25"/>
    <row r="411" s="6" customFormat="1" x14ac:dyDescent="0.25"/>
    <row r="412" s="6" customFormat="1" x14ac:dyDescent="0.25"/>
    <row r="413" s="6" customFormat="1" x14ac:dyDescent="0.25"/>
    <row r="414" s="6" customFormat="1" x14ac:dyDescent="0.25"/>
    <row r="415" s="6" customFormat="1" x14ac:dyDescent="0.25"/>
    <row r="416" s="6" customFormat="1" x14ac:dyDescent="0.25"/>
    <row r="417" s="6" customFormat="1" x14ac:dyDescent="0.25"/>
    <row r="418" s="6" customFormat="1" x14ac:dyDescent="0.25"/>
    <row r="419" s="6" customFormat="1" x14ac:dyDescent="0.25"/>
    <row r="420" s="6" customFormat="1" x14ac:dyDescent="0.25"/>
    <row r="421" s="6" customFormat="1" x14ac:dyDescent="0.25"/>
    <row r="422" s="6" customFormat="1" x14ac:dyDescent="0.25"/>
    <row r="423" s="6" customFormat="1" x14ac:dyDescent="0.25"/>
    <row r="424" s="6" customFormat="1" x14ac:dyDescent="0.25"/>
    <row r="425" s="6" customFormat="1" x14ac:dyDescent="0.25"/>
    <row r="426" s="6" customFormat="1" x14ac:dyDescent="0.25"/>
    <row r="427" s="6" customFormat="1" x14ac:dyDescent="0.25"/>
    <row r="428" s="6" customFormat="1" x14ac:dyDescent="0.25"/>
    <row r="429" s="6" customFormat="1" x14ac:dyDescent="0.25"/>
    <row r="430" s="6" customFormat="1" x14ac:dyDescent="0.25"/>
    <row r="431" s="6" customFormat="1" x14ac:dyDescent="0.25"/>
    <row r="432" s="6" customFormat="1" x14ac:dyDescent="0.25"/>
    <row r="433" s="6" customFormat="1" x14ac:dyDescent="0.25"/>
    <row r="434" s="6" customFormat="1" x14ac:dyDescent="0.25"/>
    <row r="435" s="6" customFormat="1" x14ac:dyDescent="0.25"/>
    <row r="436" s="6" customFormat="1" x14ac:dyDescent="0.25"/>
    <row r="437" s="6" customFormat="1" x14ac:dyDescent="0.25"/>
    <row r="438" s="6" customFormat="1" x14ac:dyDescent="0.25"/>
    <row r="439" s="6" customFormat="1" x14ac:dyDescent="0.25"/>
    <row r="440" s="6" customFormat="1" x14ac:dyDescent="0.25"/>
    <row r="441" s="6" customFormat="1" x14ac:dyDescent="0.25"/>
    <row r="442" s="6" customFormat="1" x14ac:dyDescent="0.25"/>
  </sheetData>
  <mergeCells count="39">
    <mergeCell ref="F6:G6"/>
    <mergeCell ref="B6:E6"/>
    <mergeCell ref="B8:D8"/>
    <mergeCell ref="F7:G8"/>
    <mergeCell ref="E7:E8"/>
    <mergeCell ref="B2:B5"/>
    <mergeCell ref="C2:G5"/>
    <mergeCell ref="B7:D7"/>
    <mergeCell ref="D140:G140"/>
    <mergeCell ref="B140:C140"/>
    <mergeCell ref="D9:D13"/>
    <mergeCell ref="C9:C13"/>
    <mergeCell ref="B9:B13"/>
    <mergeCell ref="F14:G21"/>
    <mergeCell ref="E14:E21"/>
    <mergeCell ref="F22:G29"/>
    <mergeCell ref="E22:E29"/>
    <mergeCell ref="E9:E13"/>
    <mergeCell ref="F9:G13"/>
    <mergeCell ref="E60:E68"/>
    <mergeCell ref="F60:G68"/>
    <mergeCell ref="F115:G125"/>
    <mergeCell ref="E115:E125"/>
    <mergeCell ref="E126:E139"/>
    <mergeCell ref="F126:G139"/>
    <mergeCell ref="F86:G94"/>
    <mergeCell ref="E86:E94"/>
    <mergeCell ref="E110:E114"/>
    <mergeCell ref="E95:E104"/>
    <mergeCell ref="F95:G104"/>
    <mergeCell ref="E105:E109"/>
    <mergeCell ref="F105:G109"/>
    <mergeCell ref="E30:E37"/>
    <mergeCell ref="E52:E59"/>
    <mergeCell ref="E77:E85"/>
    <mergeCell ref="E69:E76"/>
    <mergeCell ref="H15:I22"/>
    <mergeCell ref="E38:E44"/>
    <mergeCell ref="E45:E51"/>
  </mergeCells>
  <pageMargins left="0.511811024" right="0.511811024" top="0.78740157499999996" bottom="0.78740157499999996" header="0.31496062000000002" footer="0.31496062000000002"/>
  <pageSetup paperSize="9" scale="42" fitToHeight="0" orientation="portrait" horizont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Cadastro</vt:lpstr>
      <vt:lpstr>infor</vt:lpstr>
      <vt:lpstr>Principal</vt:lpstr>
      <vt:lpstr>Racks Embalagens</vt:lpstr>
      <vt:lpstr>Embalagens 06-08</vt:lpstr>
      <vt:lpstr>Embalagens-Insumos</vt:lpstr>
      <vt:lpstr>Base de Dados</vt:lpstr>
      <vt:lpstr>Fluxo</vt:lpstr>
      <vt:lpstr>Fluxo pop</vt:lpstr>
      <vt:lpstr>'Fluxo pop'!Area_de_impressao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Evy</dc:creator>
  <cp:keywords/>
  <dc:description/>
  <cp:lastModifiedBy>Evy</cp:lastModifiedBy>
  <cp:revision/>
  <dcterms:created xsi:type="dcterms:W3CDTF">2021-03-03T06:27:40Z</dcterms:created>
  <dcterms:modified xsi:type="dcterms:W3CDTF">2023-01-23T20:01:06Z</dcterms:modified>
  <cp:category/>
  <cp:contentStatus/>
</cp:coreProperties>
</file>